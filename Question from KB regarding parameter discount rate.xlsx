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617\work folders\$Documents\"/>
    </mc:Choice>
  </mc:AlternateContent>
  <xr:revisionPtr revIDLastSave="0" documentId="8_{EEB2AFFF-23B9-47A7-BF29-52A216385F12}" xr6:coauthVersionLast="47" xr6:coauthVersionMax="47" xr10:uidLastSave="{00000000-0000-0000-0000-000000000000}"/>
  <bookViews>
    <workbookView xWindow="28680" yWindow="-120" windowWidth="29040" windowHeight="15840" xr2:uid="{9C790C98-B81E-499A-903F-13A71FAFA993}"/>
  </bookViews>
  <sheets>
    <sheet name="KB question from traj_detail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9" i="1" l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<sst xmlns="http://schemas.openxmlformats.org/spreadsheetml/2006/main" count="731" uniqueCount="16">
  <si>
    <t>company_name</t>
  </si>
  <si>
    <t>sector</t>
  </si>
  <si>
    <t>technology</t>
  </si>
  <si>
    <t>year</t>
  </si>
  <si>
    <t>production_baseline_scenario</t>
  </si>
  <si>
    <t>production_shock_scenario</t>
  </si>
  <si>
    <t>net_profits_baseline_scenario</t>
  </si>
  <si>
    <t>net_profits_shock_scenario</t>
  </si>
  <si>
    <t>discounted_net_profits_baseline_scenario</t>
  </si>
  <si>
    <t>discounted_net_profits_shock_scenario</t>
  </si>
  <si>
    <t>Power</t>
  </si>
  <si>
    <t>CoalCap</t>
  </si>
  <si>
    <t>NA</t>
  </si>
  <si>
    <t>Is the growth rate applied in the last cashflow calculation? How come the discounted rate differs from the previous cashflows?</t>
  </si>
  <si>
    <t>RenewablesCap</t>
  </si>
  <si>
    <t>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</si>
</sst>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4723-EF6F-44BF-9AEA-2A67397A26C9}">
  <dimension ref="A1:R349"/>
  <sheetViews>
    <sheetView tabSelected="1" zoomScale="85" zoomScaleNormal="85" workbookViewId="0">
      <selection activeCell="L30" sqref="L30:R31"/>
    </sheetView>
  </sheetViews>
  <sheetFormatPr defaultRowHeight="14.5" x14ac:dyDescent="0.35"/>
  <cols>
    <col min="5" max="5" width="27" bestFit="1" customWidth="1"/>
    <col min="6" max="6" width="24.81640625" bestFit="1" customWidth="1"/>
    <col min="7" max="7" width="26.54296875" bestFit="1" customWidth="1"/>
    <col min="8" max="8" width="24.36328125" bestFit="1" customWidth="1"/>
    <col min="9" max="9" width="37.1796875" bestFit="1" customWidth="1"/>
    <col min="10" max="10" width="34.90625" bestFit="1" customWidth="1"/>
    <col min="11" max="11" width="8.7265625" style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101</v>
      </c>
      <c r="B2" t="s">
        <v>10</v>
      </c>
      <c r="C2" t="s">
        <v>11</v>
      </c>
      <c r="D2">
        <v>2023</v>
      </c>
      <c r="E2">
        <v>732839.91724800004</v>
      </c>
      <c r="F2">
        <v>732839.91724800004</v>
      </c>
      <c r="G2">
        <v>3434413.14693134</v>
      </c>
      <c r="H2">
        <v>3434413.14693134</v>
      </c>
      <c r="I2">
        <v>3434413.14693134</v>
      </c>
      <c r="J2">
        <v>3434413.14693134</v>
      </c>
    </row>
    <row r="3" spans="1:11" x14ac:dyDescent="0.35">
      <c r="A3">
        <v>101</v>
      </c>
      <c r="B3" t="s">
        <v>10</v>
      </c>
      <c r="C3" t="s">
        <v>11</v>
      </c>
      <c r="D3">
        <v>2024</v>
      </c>
      <c r="E3">
        <v>736152.56249399995</v>
      </c>
      <c r="F3">
        <v>736152.56249399995</v>
      </c>
      <c r="G3">
        <v>3452737.2971993098</v>
      </c>
      <c r="H3">
        <v>3452737.2971993098</v>
      </c>
      <c r="I3">
        <v>3138852.08836301</v>
      </c>
      <c r="J3">
        <v>3138852.08836301</v>
      </c>
      <c r="K3" s="1">
        <f>(G3/I3)^(1/(D3-$D$2))-1</f>
        <v>9.9999999999999645E-2</v>
      </c>
    </row>
    <row r="4" spans="1:11" x14ac:dyDescent="0.35">
      <c r="A4">
        <v>101</v>
      </c>
      <c r="B4" t="s">
        <v>10</v>
      </c>
      <c r="C4" t="s">
        <v>11</v>
      </c>
      <c r="D4">
        <v>2025</v>
      </c>
      <c r="E4">
        <v>739474.75526400004</v>
      </c>
      <c r="F4">
        <v>739474.75526400004</v>
      </c>
      <c r="G4">
        <v>3470926.7968874699</v>
      </c>
      <c r="H4">
        <v>3470926.7968874699</v>
      </c>
      <c r="I4">
        <v>2868534.5428821999</v>
      </c>
      <c r="J4">
        <v>2868534.5428821999</v>
      </c>
      <c r="K4" s="1">
        <f>(G4/I4)^(1/(D4-$D$2))-1</f>
        <v>0.1000000000000012</v>
      </c>
    </row>
    <row r="5" spans="1:11" x14ac:dyDescent="0.35">
      <c r="A5">
        <v>101</v>
      </c>
      <c r="B5" t="s">
        <v>10</v>
      </c>
      <c r="C5" t="s">
        <v>11</v>
      </c>
      <c r="D5">
        <v>2026</v>
      </c>
      <c r="E5">
        <v>742141.39211999997</v>
      </c>
      <c r="F5">
        <v>742141.39211999997</v>
      </c>
      <c r="G5">
        <v>3485869.7916017501</v>
      </c>
      <c r="H5">
        <v>3485869.7916017501</v>
      </c>
      <c r="I5">
        <v>2618985.56844609</v>
      </c>
      <c r="J5">
        <v>2618985.56844609</v>
      </c>
      <c r="K5" s="1">
        <f>(G5/I5)^(1/(D5-$D$2))-1</f>
        <v>0.10000000000000053</v>
      </c>
    </row>
    <row r="6" spans="1:11" x14ac:dyDescent="0.35">
      <c r="A6">
        <v>101</v>
      </c>
      <c r="B6" t="s">
        <v>10</v>
      </c>
      <c r="C6" t="s">
        <v>11</v>
      </c>
      <c r="D6">
        <v>2027</v>
      </c>
      <c r="E6">
        <v>1117246.989294</v>
      </c>
      <c r="F6">
        <v>1117246.989294</v>
      </c>
      <c r="G6">
        <v>5251143.3824976897</v>
      </c>
      <c r="H6">
        <v>5251143.3824976897</v>
      </c>
      <c r="I6">
        <v>3586601.5862971698</v>
      </c>
      <c r="J6">
        <v>3586601.5862971698</v>
      </c>
      <c r="K6" s="1">
        <f>(G6/I6)^(1/(D6-$D$2))-1</f>
        <v>0.10000000000000009</v>
      </c>
    </row>
    <row r="7" spans="1:11" x14ac:dyDescent="0.35">
      <c r="A7">
        <v>101</v>
      </c>
      <c r="B7" t="s">
        <v>10</v>
      </c>
      <c r="C7" t="s">
        <v>11</v>
      </c>
      <c r="D7">
        <v>2028</v>
      </c>
      <c r="E7">
        <v>1495089.727308</v>
      </c>
      <c r="F7">
        <v>1495089.727308</v>
      </c>
      <c r="G7">
        <v>7031233.58810494</v>
      </c>
      <c r="H7">
        <v>7031233.58810494</v>
      </c>
      <c r="I7">
        <v>4365842.8622640902</v>
      </c>
      <c r="J7">
        <v>4365842.8622640902</v>
      </c>
      <c r="K7" s="1">
        <f>(G7/I7)^(1/(D7-$D$2))-1</f>
        <v>0.10000000000000009</v>
      </c>
    </row>
    <row r="8" spans="1:11" x14ac:dyDescent="0.35">
      <c r="A8">
        <v>101</v>
      </c>
      <c r="B8" t="s">
        <v>10</v>
      </c>
      <c r="C8" t="s">
        <v>11</v>
      </c>
      <c r="D8">
        <v>2029</v>
      </c>
      <c r="E8">
        <v>1500564.6291960001</v>
      </c>
      <c r="F8">
        <v>1500564.6291960001</v>
      </c>
      <c r="G8">
        <v>7060890.5414048899</v>
      </c>
      <c r="H8">
        <v>7060890.5414048899</v>
      </c>
      <c r="I8">
        <v>3985688.6335863601</v>
      </c>
      <c r="J8">
        <v>3985688.6335863601</v>
      </c>
      <c r="K8" s="1">
        <f>(G8/I8)^(1/(D8-$D$2))-1</f>
        <v>0.10000000000000009</v>
      </c>
    </row>
    <row r="9" spans="1:11" x14ac:dyDescent="0.35">
      <c r="A9">
        <v>101</v>
      </c>
      <c r="B9" t="s">
        <v>10</v>
      </c>
      <c r="C9" t="s">
        <v>11</v>
      </c>
      <c r="D9">
        <v>2030</v>
      </c>
      <c r="E9">
        <v>1500019.1503626299</v>
      </c>
      <c r="F9">
        <v>1376818.9038565001</v>
      </c>
      <c r="G9">
        <v>7061946.2182607399</v>
      </c>
      <c r="H9">
        <v>6481931.27998986</v>
      </c>
      <c r="I9">
        <v>3623895.0324091399</v>
      </c>
      <c r="J9">
        <v>3326255.6581403501</v>
      </c>
      <c r="K9" s="1">
        <f>(G9/I9)^(1/(D9-$D$2))-1</f>
        <v>9.9999999999999867E-2</v>
      </c>
    </row>
    <row r="10" spans="1:11" x14ac:dyDescent="0.35">
      <c r="A10">
        <v>101</v>
      </c>
      <c r="B10" t="s">
        <v>10</v>
      </c>
      <c r="C10" t="s">
        <v>11</v>
      </c>
      <c r="D10">
        <v>2031</v>
      </c>
      <c r="E10">
        <v>1499251.11358272</v>
      </c>
      <c r="F10">
        <v>1253073.1785170101</v>
      </c>
      <c r="G10">
        <v>7061686.4891336504</v>
      </c>
      <c r="H10">
        <v>5900845.4002007702</v>
      </c>
      <c r="I10">
        <v>3294328.8639082001</v>
      </c>
      <c r="J10">
        <v>2752787.9286703099</v>
      </c>
      <c r="K10" s="1">
        <f>(G10/I10)^(1/(D10-$D$2))-1</f>
        <v>0.10000000000000031</v>
      </c>
    </row>
    <row r="11" spans="1:11" x14ac:dyDescent="0.35">
      <c r="A11">
        <v>101</v>
      </c>
      <c r="B11" t="s">
        <v>10</v>
      </c>
      <c r="C11" t="s">
        <v>11</v>
      </c>
      <c r="D11">
        <v>2032</v>
      </c>
      <c r="E11">
        <v>1498483.07788438</v>
      </c>
      <c r="F11">
        <v>1129327.4531775101</v>
      </c>
      <c r="G11">
        <v>7061178.2040494196</v>
      </c>
      <c r="H11">
        <v>5319463.8277681097</v>
      </c>
      <c r="I11">
        <v>2994628.85924106</v>
      </c>
      <c r="J11">
        <v>2255971.94037503</v>
      </c>
      <c r="K11" s="1">
        <f>(G11/I11)^(1/(D11-$D$2))-1</f>
        <v>9.9999999999999867E-2</v>
      </c>
    </row>
    <row r="12" spans="1:11" x14ac:dyDescent="0.35">
      <c r="A12">
        <v>101</v>
      </c>
      <c r="B12" t="s">
        <v>10</v>
      </c>
      <c r="C12" t="s">
        <v>11</v>
      </c>
      <c r="D12">
        <v>2033</v>
      </c>
      <c r="E12">
        <v>1497715.04214753</v>
      </c>
      <c r="F12">
        <v>1005581.7278380099</v>
      </c>
      <c r="G12">
        <v>7060439.5393990902</v>
      </c>
      <c r="H12">
        <v>4737786.5626918897</v>
      </c>
      <c r="I12">
        <v>2722105.0848382502</v>
      </c>
      <c r="J12">
        <v>1826621.8159952599</v>
      </c>
      <c r="K12" s="1">
        <f>(G12/I12)^(1/(D12-$D$2))-1</f>
        <v>0.10000000000000009</v>
      </c>
    </row>
    <row r="13" spans="1:11" x14ac:dyDescent="0.35">
      <c r="A13">
        <v>101</v>
      </c>
      <c r="B13" t="s">
        <v>10</v>
      </c>
      <c r="C13" t="s">
        <v>11</v>
      </c>
      <c r="D13">
        <v>2034</v>
      </c>
      <c r="E13">
        <v>1496947.0075471499</v>
      </c>
      <c r="F13">
        <v>881836.00249851798</v>
      </c>
      <c r="G13">
        <v>7059487.3695536498</v>
      </c>
      <c r="H13">
        <v>4155813.6049721199</v>
      </c>
      <c r="I13">
        <v>2474307.25649449</v>
      </c>
      <c r="J13">
        <v>1456587.3159245001</v>
      </c>
      <c r="K13" s="1">
        <f>(G13/I13)^(1/(D13-$D$2))-1</f>
        <v>0.10000000000000031</v>
      </c>
    </row>
    <row r="14" spans="1:11" x14ac:dyDescent="0.35">
      <c r="A14">
        <v>101</v>
      </c>
      <c r="B14" t="s">
        <v>10</v>
      </c>
      <c r="C14" t="s">
        <v>11</v>
      </c>
      <c r="D14">
        <v>2035</v>
      </c>
      <c r="E14">
        <v>1496178.9710510401</v>
      </c>
      <c r="F14">
        <v>758090.277159021</v>
      </c>
      <c r="G14">
        <v>7058337.3215498002</v>
      </c>
      <c r="H14">
        <v>3573544.9546087901</v>
      </c>
      <c r="I14">
        <v>2249003.7924409402</v>
      </c>
      <c r="J14">
        <v>1138641.55101172</v>
      </c>
      <c r="K14" s="1">
        <f>(G14/I14)^(1/(D14-$D$2))-1</f>
        <v>0.10000000000000009</v>
      </c>
    </row>
    <row r="15" spans="1:11" x14ac:dyDescent="0.35">
      <c r="A15">
        <v>101</v>
      </c>
      <c r="B15" t="s">
        <v>10</v>
      </c>
      <c r="C15" t="s">
        <v>11</v>
      </c>
      <c r="D15">
        <v>2036</v>
      </c>
      <c r="E15">
        <v>1492727.67007717</v>
      </c>
      <c r="F15">
        <v>634344.55181952496</v>
      </c>
      <c r="G15">
        <v>7044341.3030230701</v>
      </c>
      <c r="H15">
        <v>2990980.6116018998</v>
      </c>
      <c r="I15">
        <v>2040494.7541937099</v>
      </c>
      <c r="J15">
        <v>866380.543664122</v>
      </c>
      <c r="K15" s="1">
        <f>(G15/I15)^(1/(D15-$D$2))-1</f>
        <v>0.10000000000000009</v>
      </c>
    </row>
    <row r="16" spans="1:11" x14ac:dyDescent="0.35">
      <c r="A16">
        <v>101</v>
      </c>
      <c r="B16" t="s">
        <v>10</v>
      </c>
      <c r="C16" t="s">
        <v>11</v>
      </c>
      <c r="D16">
        <v>2037</v>
      </c>
      <c r="E16">
        <v>1489276.3690407199</v>
      </c>
      <c r="F16">
        <v>510598.82648002799</v>
      </c>
      <c r="G16">
        <v>7030167.7621355699</v>
      </c>
      <c r="H16">
        <v>2408120.57595145</v>
      </c>
      <c r="I16">
        <v>1851262.8947853299</v>
      </c>
      <c r="J16">
        <v>634133.41178557405</v>
      </c>
      <c r="K16" s="1">
        <f>(G16/I16)^(1/(D16-$D$2))-1</f>
        <v>9.9999999999999867E-2</v>
      </c>
    </row>
    <row r="17" spans="1:18" x14ac:dyDescent="0.35">
      <c r="A17">
        <v>101</v>
      </c>
      <c r="B17" t="s">
        <v>10</v>
      </c>
      <c r="C17" t="s">
        <v>11</v>
      </c>
      <c r="D17">
        <v>2038</v>
      </c>
      <c r="E17">
        <v>1485825.06837597</v>
      </c>
      <c r="F17">
        <v>386853.101140532</v>
      </c>
      <c r="G17">
        <v>7015830.0089756297</v>
      </c>
      <c r="H17">
        <v>1824964.84765744</v>
      </c>
      <c r="I17">
        <v>1679533.92387435</v>
      </c>
      <c r="J17">
        <v>436882.07490739803</v>
      </c>
      <c r="K17" s="1">
        <f>(G17/I17)^(1/(D17-$D$2))-1</f>
        <v>0.10000000000000009</v>
      </c>
    </row>
    <row r="18" spans="1:18" x14ac:dyDescent="0.35">
      <c r="A18">
        <v>101</v>
      </c>
      <c r="B18" t="s">
        <v>10</v>
      </c>
      <c r="C18" t="s">
        <v>11</v>
      </c>
      <c r="D18">
        <v>2039</v>
      </c>
      <c r="E18">
        <v>1482373.76671549</v>
      </c>
      <c r="F18">
        <v>263107.37580103503</v>
      </c>
      <c r="G18">
        <v>7001340.3584485101</v>
      </c>
      <c r="H18">
        <v>1241513.42671988</v>
      </c>
      <c r="I18">
        <v>1523695.6515818399</v>
      </c>
      <c r="J18">
        <v>270189.49412891298</v>
      </c>
      <c r="K18" s="1">
        <f>(G18/I18)^(1/(D18-$D$2))-1</f>
        <v>0.10000000000000009</v>
      </c>
    </row>
    <row r="19" spans="1:18" x14ac:dyDescent="0.35">
      <c r="A19">
        <v>101</v>
      </c>
      <c r="B19" t="s">
        <v>10</v>
      </c>
      <c r="C19" t="s">
        <v>11</v>
      </c>
      <c r="D19">
        <v>2040</v>
      </c>
      <c r="E19">
        <v>1478922.4651798699</v>
      </c>
      <c r="F19">
        <v>139361.65046153899</v>
      </c>
      <c r="G19">
        <v>6986710.2171787601</v>
      </c>
      <c r="H19">
        <v>657766.31313875504</v>
      </c>
      <c r="I19">
        <v>1382283.3696189199</v>
      </c>
      <c r="J19">
        <v>130135.5584366</v>
      </c>
      <c r="K19" s="1">
        <f>(G19/I19)^(1/(D19-$D$2))-1</f>
        <v>0.10000000000000009</v>
      </c>
    </row>
    <row r="20" spans="1:18" x14ac:dyDescent="0.35">
      <c r="A20">
        <v>101</v>
      </c>
      <c r="B20" t="s">
        <v>10</v>
      </c>
      <c r="C20" t="s">
        <v>11</v>
      </c>
      <c r="D20">
        <v>2041</v>
      </c>
      <c r="E20">
        <v>1475306.9978833201</v>
      </c>
      <c r="F20">
        <v>15615.925122042199</v>
      </c>
      <c r="G20">
        <v>6971174.4148233496</v>
      </c>
      <c r="H20">
        <v>73723.506914074896</v>
      </c>
      <c r="I20">
        <v>1253826.9944962</v>
      </c>
      <c r="J20">
        <v>13259.820741428999</v>
      </c>
      <c r="K20" s="1">
        <f>(G20/I20)^(1/(D20-$D$2))-1</f>
        <v>9.9999999999999867E-2</v>
      </c>
    </row>
    <row r="21" spans="1:18" x14ac:dyDescent="0.35">
      <c r="A21">
        <v>101</v>
      </c>
      <c r="B21" t="s">
        <v>10</v>
      </c>
      <c r="C21" t="s">
        <v>11</v>
      </c>
      <c r="D21">
        <v>2042</v>
      </c>
      <c r="E21">
        <v>1471691.5302842101</v>
      </c>
      <c r="F21">
        <v>0</v>
      </c>
      <c r="G21">
        <v>6955518.1135543101</v>
      </c>
      <c r="H21">
        <v>0</v>
      </c>
      <c r="I21">
        <v>1137282.7919049901</v>
      </c>
      <c r="J21">
        <v>0</v>
      </c>
      <c r="K21" s="1">
        <f>(G21/I21)^(1/(D21-$D$2))-1</f>
        <v>0.10000000000000031</v>
      </c>
    </row>
    <row r="22" spans="1:18" x14ac:dyDescent="0.35">
      <c r="A22">
        <v>101</v>
      </c>
      <c r="B22" t="s">
        <v>10</v>
      </c>
      <c r="C22" t="s">
        <v>11</v>
      </c>
      <c r="D22">
        <v>2043</v>
      </c>
      <c r="E22">
        <v>1468076.06173086</v>
      </c>
      <c r="F22">
        <v>0</v>
      </c>
      <c r="G22">
        <v>6939750.3815547395</v>
      </c>
      <c r="H22">
        <v>0</v>
      </c>
      <c r="I22">
        <v>1031549.67429623</v>
      </c>
      <c r="J22">
        <v>0</v>
      </c>
      <c r="K22" s="1">
        <f>(G22/I22)^(1/(D22-$D$2))-1</f>
        <v>0.10000000000000009</v>
      </c>
    </row>
    <row r="23" spans="1:18" x14ac:dyDescent="0.35">
      <c r="A23">
        <v>101</v>
      </c>
      <c r="B23" t="s">
        <v>10</v>
      </c>
      <c r="C23" t="s">
        <v>11</v>
      </c>
      <c r="D23">
        <v>2044</v>
      </c>
      <c r="E23">
        <v>1464460.5941307801</v>
      </c>
      <c r="F23">
        <v>0</v>
      </c>
      <c r="G23">
        <v>6923879.6170227602</v>
      </c>
      <c r="H23">
        <v>0</v>
      </c>
      <c r="I23">
        <v>935627.80570607295</v>
      </c>
      <c r="J23">
        <v>0</v>
      </c>
      <c r="K23" s="1">
        <f>(G23/I23)^(1/(D23-$D$2))-1</f>
        <v>0.10000000000000009</v>
      </c>
    </row>
    <row r="24" spans="1:18" x14ac:dyDescent="0.35">
      <c r="A24">
        <v>101</v>
      </c>
      <c r="B24" t="s">
        <v>10</v>
      </c>
      <c r="C24" t="s">
        <v>11</v>
      </c>
      <c r="D24">
        <v>2045</v>
      </c>
      <c r="E24">
        <v>1460845.1263740601</v>
      </c>
      <c r="F24">
        <v>0</v>
      </c>
      <c r="G24">
        <v>6907913.5769003602</v>
      </c>
      <c r="H24">
        <v>0</v>
      </c>
      <c r="I24">
        <v>848609.36871711398</v>
      </c>
      <c r="J24">
        <v>0</v>
      </c>
      <c r="K24" s="1">
        <f>(G24/I24)^(1/(D24-$D$2))-1</f>
        <v>0.10000000000000009</v>
      </c>
    </row>
    <row r="25" spans="1:18" x14ac:dyDescent="0.35">
      <c r="A25">
        <v>101</v>
      </c>
      <c r="B25" t="s">
        <v>10</v>
      </c>
      <c r="C25" t="s">
        <v>11</v>
      </c>
      <c r="D25">
        <v>2046</v>
      </c>
      <c r="E25">
        <v>1457750.83480254</v>
      </c>
      <c r="F25">
        <v>0</v>
      </c>
      <c r="G25">
        <v>6894324.3044334203</v>
      </c>
      <c r="H25">
        <v>0</v>
      </c>
      <c r="I25">
        <v>769945.43755523104</v>
      </c>
      <c r="J25">
        <v>0</v>
      </c>
      <c r="K25" s="1">
        <f>(G25/I25)^(1/(D25-$D$2))-1</f>
        <v>0.10000000000000009</v>
      </c>
    </row>
    <row r="26" spans="1:18" x14ac:dyDescent="0.35">
      <c r="A26">
        <v>101</v>
      </c>
      <c r="B26" t="s">
        <v>10</v>
      </c>
      <c r="C26" t="s">
        <v>11</v>
      </c>
      <c r="D26">
        <v>2047</v>
      </c>
      <c r="E26">
        <v>1454656.54457602</v>
      </c>
      <c r="F26">
        <v>0</v>
      </c>
      <c r="G26">
        <v>6880654.2742732801</v>
      </c>
      <c r="H26">
        <v>0</v>
      </c>
      <c r="I26">
        <v>698562.53979086794</v>
      </c>
      <c r="J26">
        <v>0</v>
      </c>
      <c r="K26" s="1">
        <f>(G26/I26)^(1/(D26-$D$2))-1</f>
        <v>0.10000000000000009</v>
      </c>
    </row>
    <row r="27" spans="1:18" x14ac:dyDescent="0.35">
      <c r="A27">
        <v>101</v>
      </c>
      <c r="B27" t="s">
        <v>10</v>
      </c>
      <c r="C27" t="s">
        <v>11</v>
      </c>
      <c r="D27">
        <v>2048</v>
      </c>
      <c r="E27">
        <v>1451562.2539659501</v>
      </c>
      <c r="F27">
        <v>0</v>
      </c>
      <c r="G27">
        <v>6866909.54474774</v>
      </c>
      <c r="H27">
        <v>0</v>
      </c>
      <c r="I27">
        <v>633788.27082410106</v>
      </c>
      <c r="J27">
        <v>0</v>
      </c>
      <c r="K27" s="1">
        <f>(G27/I27)^(1/(D27-$D$2))-1</f>
        <v>0.10000000000000009</v>
      </c>
    </row>
    <row r="28" spans="1:18" x14ac:dyDescent="0.35">
      <c r="A28">
        <v>101</v>
      </c>
      <c r="B28" t="s">
        <v>10</v>
      </c>
      <c r="C28" t="s">
        <v>11</v>
      </c>
      <c r="D28">
        <v>2049</v>
      </c>
      <c r="E28">
        <v>1448467.9627582801</v>
      </c>
      <c r="F28">
        <v>0</v>
      </c>
      <c r="G28">
        <v>6853095.7244587103</v>
      </c>
      <c r="H28">
        <v>0</v>
      </c>
      <c r="I28">
        <v>575012.10044716997</v>
      </c>
      <c r="J28">
        <v>0</v>
      </c>
      <c r="K28" s="1">
        <f>(G28/I28)^(1/(D28-$D$2))-1</f>
        <v>0.10000000000000009</v>
      </c>
    </row>
    <row r="29" spans="1:18" x14ac:dyDescent="0.35">
      <c r="A29">
        <v>101</v>
      </c>
      <c r="B29" t="s">
        <v>10</v>
      </c>
      <c r="C29" t="s">
        <v>11</v>
      </c>
      <c r="D29">
        <v>2050</v>
      </c>
      <c r="E29">
        <v>1445373.6716461701</v>
      </c>
      <c r="F29">
        <v>0</v>
      </c>
      <c r="G29">
        <v>6839218.0129230497</v>
      </c>
      <c r="H29">
        <v>0</v>
      </c>
      <c r="I29">
        <v>521679.71343246999</v>
      </c>
      <c r="J29">
        <v>0</v>
      </c>
      <c r="K29" s="1">
        <f>(G29/I29)^(1/(D29-$D$2))-1</f>
        <v>0.10000000000000009</v>
      </c>
    </row>
    <row r="30" spans="1:18" ht="14.5" customHeight="1" x14ac:dyDescent="0.35">
      <c r="A30">
        <v>101</v>
      </c>
      <c r="B30" t="s">
        <v>10</v>
      </c>
      <c r="C30" t="s">
        <v>11</v>
      </c>
      <c r="D30">
        <v>2051</v>
      </c>
      <c r="E30" t="s">
        <v>12</v>
      </c>
      <c r="F30" t="s">
        <v>12</v>
      </c>
      <c r="G30">
        <v>7044394.5533107398</v>
      </c>
      <c r="H30">
        <v>0</v>
      </c>
      <c r="I30">
        <v>100634207.904439</v>
      </c>
      <c r="J30">
        <v>0</v>
      </c>
      <c r="K30" s="2">
        <f>(G30/I30)^(1/(D30-$D$2))-1</f>
        <v>-9.0603032986147247E-2</v>
      </c>
      <c r="L30" s="3" t="s">
        <v>13</v>
      </c>
      <c r="M30" s="3"/>
      <c r="N30" s="3"/>
      <c r="O30" s="3"/>
      <c r="P30" s="3"/>
      <c r="Q30" s="3"/>
      <c r="R30" s="3"/>
    </row>
    <row r="31" spans="1:18" x14ac:dyDescent="0.35">
      <c r="A31">
        <v>102</v>
      </c>
      <c r="B31" t="s">
        <v>10</v>
      </c>
      <c r="C31" t="s">
        <v>14</v>
      </c>
      <c r="D31">
        <v>2023</v>
      </c>
      <c r="E31">
        <v>68707.490926319995</v>
      </c>
      <c r="F31">
        <v>68707.490926319995</v>
      </c>
      <c r="G31">
        <v>710780.14792414499</v>
      </c>
      <c r="H31">
        <v>710780.14792414499</v>
      </c>
      <c r="I31">
        <v>710780.14792414499</v>
      </c>
      <c r="J31">
        <v>710780.14792414499</v>
      </c>
      <c r="K31" s="1" t="e">
        <f>(G31/I31)^(1/(D31-$D$2))-1</f>
        <v>#DIV/0!</v>
      </c>
      <c r="L31" s="3"/>
      <c r="M31" s="3"/>
      <c r="N31" s="3"/>
      <c r="O31" s="3"/>
      <c r="P31" s="3"/>
      <c r="Q31" s="3"/>
      <c r="R31" s="3"/>
    </row>
    <row r="32" spans="1:18" x14ac:dyDescent="0.35">
      <c r="A32">
        <v>102</v>
      </c>
      <c r="B32" t="s">
        <v>10</v>
      </c>
      <c r="C32" t="s">
        <v>14</v>
      </c>
      <c r="D32">
        <v>2024</v>
      </c>
      <c r="E32">
        <v>68793.394044240005</v>
      </c>
      <c r="F32">
        <v>68793.394044240005</v>
      </c>
      <c r="G32">
        <v>724208.36625154305</v>
      </c>
      <c r="H32">
        <v>724208.36625154305</v>
      </c>
      <c r="I32">
        <v>658371.24204685702</v>
      </c>
      <c r="J32">
        <v>658371.24204685702</v>
      </c>
      <c r="K32" s="1">
        <f>(G32/I32)^(1/(D32-$D$2))-1</f>
        <v>0.10000000000000053</v>
      </c>
      <c r="L32" s="4"/>
      <c r="M32" s="4"/>
      <c r="N32" s="4"/>
      <c r="O32" s="4"/>
      <c r="P32" s="4"/>
      <c r="Q32" s="4"/>
      <c r="R32" s="4"/>
    </row>
    <row r="33" spans="1:11" x14ac:dyDescent="0.35">
      <c r="A33">
        <v>102</v>
      </c>
      <c r="B33" t="s">
        <v>10</v>
      </c>
      <c r="C33" t="s">
        <v>14</v>
      </c>
      <c r="D33">
        <v>2025</v>
      </c>
      <c r="E33">
        <v>68855.608974600007</v>
      </c>
      <c r="F33">
        <v>68855.608974600007</v>
      </c>
      <c r="G33">
        <v>736777.27825357404</v>
      </c>
      <c r="H33">
        <v>736777.27825357404</v>
      </c>
      <c r="I33">
        <v>608906.84153187904</v>
      </c>
      <c r="J33">
        <v>608906.84153187904</v>
      </c>
      <c r="K33" s="1">
        <f>(G33/I33)^(1/(D33-$D$2))-1</f>
        <v>0.10000000000000031</v>
      </c>
    </row>
    <row r="34" spans="1:11" x14ac:dyDescent="0.35">
      <c r="A34">
        <v>102</v>
      </c>
      <c r="B34" t="s">
        <v>10</v>
      </c>
      <c r="C34" t="s">
        <v>14</v>
      </c>
      <c r="D34">
        <v>2026</v>
      </c>
      <c r="E34">
        <v>68638.399650000007</v>
      </c>
      <c r="F34">
        <v>68638.399650000007</v>
      </c>
      <c r="G34">
        <v>745791.81675223901</v>
      </c>
      <c r="H34">
        <v>745791.81675223901</v>
      </c>
      <c r="I34">
        <v>560324.43031723402</v>
      </c>
      <c r="J34">
        <v>560324.43031723402</v>
      </c>
      <c r="K34" s="1">
        <f>(G34/I34)^(1/(D34-$D$2))-1</f>
        <v>0.10000000000000031</v>
      </c>
    </row>
    <row r="35" spans="1:11" x14ac:dyDescent="0.35">
      <c r="A35">
        <v>102</v>
      </c>
      <c r="B35" t="s">
        <v>10</v>
      </c>
      <c r="C35" t="s">
        <v>14</v>
      </c>
      <c r="D35">
        <v>2027</v>
      </c>
      <c r="E35">
        <v>68468.687325720006</v>
      </c>
      <c r="F35">
        <v>68468.687325720006</v>
      </c>
      <c r="G35">
        <v>754799.59730807296</v>
      </c>
      <c r="H35">
        <v>754799.59730807296</v>
      </c>
      <c r="I35">
        <v>515538.28106555098</v>
      </c>
      <c r="J35">
        <v>515538.28106555098</v>
      </c>
      <c r="K35" s="1">
        <f>(G35/I35)^(1/(D35-$D$2))-1</f>
        <v>9.9999999999999867E-2</v>
      </c>
    </row>
    <row r="36" spans="1:11" x14ac:dyDescent="0.35">
      <c r="A36">
        <v>102</v>
      </c>
      <c r="B36" t="s">
        <v>10</v>
      </c>
      <c r="C36" t="s">
        <v>14</v>
      </c>
      <c r="D36">
        <v>2028</v>
      </c>
      <c r="E36">
        <v>68332.42815372</v>
      </c>
      <c r="F36">
        <v>68332.42815372</v>
      </c>
      <c r="G36">
        <v>763731.34840684605</v>
      </c>
      <c r="H36">
        <v>763731.34840684605</v>
      </c>
      <c r="I36">
        <v>474217.079314531</v>
      </c>
      <c r="J36">
        <v>474217.079314531</v>
      </c>
      <c r="K36" s="1">
        <f>(G36/I36)^(1/(D36-$D$2))-1</f>
        <v>0.10000000000000031</v>
      </c>
    </row>
    <row r="37" spans="1:11" x14ac:dyDescent="0.35">
      <c r="A37">
        <v>102</v>
      </c>
      <c r="B37" t="s">
        <v>10</v>
      </c>
      <c r="C37" t="s">
        <v>14</v>
      </c>
      <c r="D37">
        <v>2029</v>
      </c>
      <c r="E37">
        <v>68220.618290640006</v>
      </c>
      <c r="F37">
        <v>68220.618290640006</v>
      </c>
      <c r="G37">
        <v>772508.18930741202</v>
      </c>
      <c r="H37">
        <v>772508.18930741202</v>
      </c>
      <c r="I37">
        <v>436060.73361708201</v>
      </c>
      <c r="J37">
        <v>436060.73361708201</v>
      </c>
      <c r="K37" s="1">
        <f>(G37/I37)^(1/(D37-$D$2))-1</f>
        <v>0.10000000000000009</v>
      </c>
    </row>
    <row r="38" spans="1:11" x14ac:dyDescent="0.35">
      <c r="A38">
        <v>102</v>
      </c>
      <c r="B38" t="s">
        <v>10</v>
      </c>
      <c r="C38" t="s">
        <v>14</v>
      </c>
      <c r="D38">
        <v>2030</v>
      </c>
      <c r="E38">
        <v>81182.514317902707</v>
      </c>
      <c r="F38">
        <v>100525.006989745</v>
      </c>
      <c r="G38">
        <v>930742.58968557103</v>
      </c>
      <c r="H38">
        <v>930742.58968557103</v>
      </c>
      <c r="I38">
        <v>477618.115880222</v>
      </c>
      <c r="J38">
        <v>477618.115880222</v>
      </c>
      <c r="K38" s="1">
        <f>(G38/I38)^(1/(D38-$D$2))-1</f>
        <v>0.10000000000000009</v>
      </c>
    </row>
    <row r="39" spans="1:11" x14ac:dyDescent="0.35">
      <c r="A39">
        <v>102</v>
      </c>
      <c r="B39" t="s">
        <v>10</v>
      </c>
      <c r="C39" t="s">
        <v>14</v>
      </c>
      <c r="D39">
        <v>2031</v>
      </c>
      <c r="E39">
        <v>92531.974076273196</v>
      </c>
      <c r="F39">
        <v>132829.39568885099</v>
      </c>
      <c r="G39">
        <v>1073410.4023583401</v>
      </c>
      <c r="H39">
        <v>1077576.5253443101</v>
      </c>
      <c r="I39">
        <v>500753.87469406502</v>
      </c>
      <c r="J39">
        <v>502697.40181387903</v>
      </c>
      <c r="K39" s="1">
        <f>(G39/I39)^(1/(D39-$D$2))-1</f>
        <v>0.10000000000000009</v>
      </c>
    </row>
    <row r="40" spans="1:11" x14ac:dyDescent="0.35">
      <c r="A40">
        <v>102</v>
      </c>
      <c r="B40" t="s">
        <v>10</v>
      </c>
      <c r="C40" t="s">
        <v>14</v>
      </c>
      <c r="D40">
        <v>2032</v>
      </c>
      <c r="E40">
        <v>103881.43353111501</v>
      </c>
      <c r="F40">
        <v>165133.784387956</v>
      </c>
      <c r="G40">
        <v>1218585.6596716901</v>
      </c>
      <c r="H40">
        <v>1228510.66560498</v>
      </c>
      <c r="I40">
        <v>516799.27604962699</v>
      </c>
      <c r="J40">
        <v>521008.44742826902</v>
      </c>
      <c r="K40" s="1">
        <f>(G40/I40)^(1/(D40-$D$2))-1</f>
        <v>0.10000000000000009</v>
      </c>
    </row>
    <row r="41" spans="1:11" x14ac:dyDescent="0.35">
      <c r="A41">
        <v>102</v>
      </c>
      <c r="B41" t="s">
        <v>10</v>
      </c>
      <c r="C41" t="s">
        <v>14</v>
      </c>
      <c r="D41">
        <v>2033</v>
      </c>
      <c r="E41">
        <v>115230.89380739001</v>
      </c>
      <c r="F41">
        <v>197438.17308706199</v>
      </c>
      <c r="G41">
        <v>1366062.9314999401</v>
      </c>
      <c r="H41">
        <v>1383545.0238102099</v>
      </c>
      <c r="I41">
        <v>526676.39617823495</v>
      </c>
      <c r="J41">
        <v>533416.49955364701</v>
      </c>
      <c r="K41" s="1">
        <f>(G41/I41)^(1/(D41-$D$2))-1</f>
        <v>0.10000000000000031</v>
      </c>
    </row>
    <row r="42" spans="1:11" x14ac:dyDescent="0.35">
      <c r="A42">
        <v>102</v>
      </c>
      <c r="B42" t="s">
        <v>10</v>
      </c>
      <c r="C42" t="s">
        <v>14</v>
      </c>
      <c r="D42">
        <v>2034</v>
      </c>
      <c r="E42">
        <v>126580.353405538</v>
      </c>
      <c r="F42">
        <v>229742.561786167</v>
      </c>
      <c r="G42">
        <v>1515649.6349211801</v>
      </c>
      <c r="H42">
        <v>1542679.5821294701</v>
      </c>
      <c r="I42">
        <v>531225.95079107303</v>
      </c>
      <c r="J42">
        <v>540699.78239088203</v>
      </c>
      <c r="K42" s="1">
        <f>(G42/I42)^(1/(D42-$D$2))-1</f>
        <v>0.10000000000000009</v>
      </c>
    </row>
    <row r="43" spans="1:11" x14ac:dyDescent="0.35">
      <c r="A43">
        <v>102</v>
      </c>
      <c r="B43" t="s">
        <v>10</v>
      </c>
      <c r="C43" t="s">
        <v>14</v>
      </c>
      <c r="D43">
        <v>2035</v>
      </c>
      <c r="E43">
        <v>137929.81358001899</v>
      </c>
      <c r="F43">
        <v>262046.95048527201</v>
      </c>
      <c r="G43">
        <v>1667202.6054213301</v>
      </c>
      <c r="H43">
        <v>1705914.3557104201</v>
      </c>
      <c r="I43">
        <v>531222.12945423496</v>
      </c>
      <c r="J43">
        <v>543556.88610384602</v>
      </c>
      <c r="K43" s="1">
        <f>(G43/I43)^(1/(D43-$D$2))-1</f>
        <v>0.10000000000000009</v>
      </c>
    </row>
    <row r="44" spans="1:11" x14ac:dyDescent="0.35">
      <c r="A44">
        <v>102</v>
      </c>
      <c r="B44" t="s">
        <v>10</v>
      </c>
      <c r="C44" t="s">
        <v>14</v>
      </c>
      <c r="D44">
        <v>2036</v>
      </c>
      <c r="E44">
        <v>148572.23859000701</v>
      </c>
      <c r="F44">
        <v>294351.33918437798</v>
      </c>
      <c r="G44">
        <v>1812001.90253687</v>
      </c>
      <c r="H44">
        <v>1864377.01986087</v>
      </c>
      <c r="I44">
        <v>524872.40718004003</v>
      </c>
      <c r="J44">
        <v>540043.61305333395</v>
      </c>
      <c r="K44" s="1">
        <f>(G44/I44)^(1/(D44-$D$2))-1</f>
        <v>0.10000000000000009</v>
      </c>
    </row>
    <row r="45" spans="1:11" x14ac:dyDescent="0.35">
      <c r="A45">
        <v>102</v>
      </c>
      <c r="B45" t="s">
        <v>10</v>
      </c>
      <c r="C45" t="s">
        <v>14</v>
      </c>
      <c r="D45">
        <v>2037</v>
      </c>
      <c r="E45">
        <v>159214.663632879</v>
      </c>
      <c r="F45">
        <v>326655.72788348299</v>
      </c>
      <c r="G45">
        <v>1958456.43006924</v>
      </c>
      <c r="H45">
        <v>2026684.4628715799</v>
      </c>
      <c r="I45">
        <v>515722.78823393898</v>
      </c>
      <c r="J45">
        <v>533689.36169061495</v>
      </c>
      <c r="K45" s="1">
        <f>(G45/I45)^(1/(D45-$D$2))-1</f>
        <v>0.10000000000000031</v>
      </c>
    </row>
    <row r="46" spans="1:11" x14ac:dyDescent="0.35">
      <c r="A46">
        <v>102</v>
      </c>
      <c r="B46" t="s">
        <v>10</v>
      </c>
      <c r="C46" t="s">
        <v>14</v>
      </c>
      <c r="D46">
        <v>2038</v>
      </c>
      <c r="E46">
        <v>169857.089792388</v>
      </c>
      <c r="F46">
        <v>358960.11658258899</v>
      </c>
      <c r="G46">
        <v>2106526.5961631401</v>
      </c>
      <c r="H46">
        <v>2192836.6987514598</v>
      </c>
      <c r="I46">
        <v>504285.71890614199</v>
      </c>
      <c r="J46">
        <v>524947.67124602303</v>
      </c>
      <c r="K46" s="1">
        <f>(G46/I46)^(1/(D46-$D$2))-1</f>
        <v>0.10000000000000009</v>
      </c>
    </row>
    <row r="47" spans="1:11" x14ac:dyDescent="0.35">
      <c r="A47">
        <v>102</v>
      </c>
      <c r="B47" t="s">
        <v>10</v>
      </c>
      <c r="C47" t="s">
        <v>14</v>
      </c>
      <c r="D47">
        <v>2039</v>
      </c>
      <c r="E47">
        <v>180499.514476568</v>
      </c>
      <c r="F47">
        <v>391264.505281694</v>
      </c>
      <c r="G47">
        <v>2256186.5551116802</v>
      </c>
      <c r="H47">
        <v>2362833.6941754501</v>
      </c>
      <c r="I47">
        <v>491011.930170306</v>
      </c>
      <c r="J47">
        <v>514221.454879247</v>
      </c>
      <c r="K47" s="1">
        <f>(G47/I47)^(1/(D47-$D$2))-1</f>
        <v>0.10000000000000031</v>
      </c>
    </row>
    <row r="48" spans="1:11" x14ac:dyDescent="0.35">
      <c r="A48">
        <v>102</v>
      </c>
      <c r="B48" t="s">
        <v>10</v>
      </c>
      <c r="C48" t="s">
        <v>14</v>
      </c>
      <c r="D48">
        <v>2040</v>
      </c>
      <c r="E48">
        <v>191141.94067025001</v>
      </c>
      <c r="F48">
        <v>423568.8939808</v>
      </c>
      <c r="G48">
        <v>2407416.7614580998</v>
      </c>
      <c r="H48">
        <v>2536675.4879562198</v>
      </c>
      <c r="I48">
        <v>476294.57207531302</v>
      </c>
      <c r="J48">
        <v>501867.72202178702</v>
      </c>
      <c r="K48" s="1">
        <f>(G48/I48)^(1/(D48-$D$2))-1</f>
        <v>0.10000000000000009</v>
      </c>
    </row>
    <row r="49" spans="1:11" x14ac:dyDescent="0.35">
      <c r="A49">
        <v>102</v>
      </c>
      <c r="B49" t="s">
        <v>10</v>
      </c>
      <c r="C49" t="s">
        <v>14</v>
      </c>
      <c r="D49">
        <v>2041</v>
      </c>
      <c r="E49">
        <v>200719.601329828</v>
      </c>
      <c r="F49">
        <v>455873.28267990501</v>
      </c>
      <c r="G49">
        <v>2546691.0823924402</v>
      </c>
      <c r="H49">
        <v>2700039.05226757</v>
      </c>
      <c r="I49">
        <v>458044.77635169</v>
      </c>
      <c r="J49">
        <v>485625.756648465</v>
      </c>
      <c r="K49" s="1">
        <f>(G49/I49)^(1/(D49-$D$2))-1</f>
        <v>0.10000000000000009</v>
      </c>
    </row>
    <row r="50" spans="1:11" x14ac:dyDescent="0.35">
      <c r="A50">
        <v>102</v>
      </c>
      <c r="B50" t="s">
        <v>10</v>
      </c>
      <c r="C50" t="s">
        <v>14</v>
      </c>
      <c r="D50">
        <v>2042</v>
      </c>
      <c r="E50">
        <v>210297.26236005899</v>
      </c>
      <c r="F50">
        <v>488177.67137901002</v>
      </c>
      <c r="G50">
        <v>2687310.19202099</v>
      </c>
      <c r="H50">
        <v>2866862.7337012799</v>
      </c>
      <c r="I50">
        <v>439396.69022508402</v>
      </c>
      <c r="J50">
        <v>468754.96556302998</v>
      </c>
      <c r="K50" s="1">
        <f>(G50/I50)^(1/(D50-$D$2))-1</f>
        <v>0.10000000000000009</v>
      </c>
    </row>
    <row r="51" spans="1:11" x14ac:dyDescent="0.35">
      <c r="A51">
        <v>102</v>
      </c>
      <c r="B51" t="s">
        <v>10</v>
      </c>
      <c r="C51" t="s">
        <v>14</v>
      </c>
      <c r="D51">
        <v>2043</v>
      </c>
      <c r="E51">
        <v>219874.92348361001</v>
      </c>
      <c r="F51">
        <v>520482.06007811602</v>
      </c>
      <c r="G51">
        <v>2829264.8460513698</v>
      </c>
      <c r="H51">
        <v>3037146.5286273798</v>
      </c>
      <c r="I51">
        <v>420552.19135824603</v>
      </c>
      <c r="J51">
        <v>451452.47885610699</v>
      </c>
      <c r="K51" s="1">
        <f>(G51/I51)^(1/(D51-$D$2))-1</f>
        <v>0.10000000000000009</v>
      </c>
    </row>
    <row r="52" spans="1:11" x14ac:dyDescent="0.35">
      <c r="A52">
        <v>102</v>
      </c>
      <c r="B52" t="s">
        <v>10</v>
      </c>
      <c r="C52" t="s">
        <v>14</v>
      </c>
      <c r="D52">
        <v>2044</v>
      </c>
      <c r="E52">
        <v>229452.58525839</v>
      </c>
      <c r="F52">
        <v>552786.44877722103</v>
      </c>
      <c r="G52">
        <v>2972545.1911882199</v>
      </c>
      <c r="H52">
        <v>3210890.4449036699</v>
      </c>
      <c r="I52">
        <v>401681.72880357999</v>
      </c>
      <c r="J52">
        <v>433889.45901685202</v>
      </c>
      <c r="K52" s="1">
        <f>(G52/I52)^(1/(D52-$D$2))-1</f>
        <v>0.10000000000000009</v>
      </c>
    </row>
    <row r="53" spans="1:11" x14ac:dyDescent="0.35">
      <c r="A53">
        <v>102</v>
      </c>
      <c r="B53" t="s">
        <v>10</v>
      </c>
      <c r="C53" t="s">
        <v>14</v>
      </c>
      <c r="D53">
        <v>2045</v>
      </c>
      <c r="E53">
        <v>239030.246217815</v>
      </c>
      <c r="F53">
        <v>585090.83747632697</v>
      </c>
      <c r="G53">
        <v>3117140.93872084</v>
      </c>
      <c r="H53">
        <v>3388094.4620951898</v>
      </c>
      <c r="I53">
        <v>382928.21338351298</v>
      </c>
      <c r="J53">
        <v>416213.76275564998</v>
      </c>
      <c r="K53" s="1">
        <f>(G53/I53)^(1/(D53-$D$2))-1</f>
        <v>0.10000000000000009</v>
      </c>
    </row>
    <row r="54" spans="1:11" x14ac:dyDescent="0.35">
      <c r="A54">
        <v>102</v>
      </c>
      <c r="B54" t="s">
        <v>10</v>
      </c>
      <c r="C54" t="s">
        <v>14</v>
      </c>
      <c r="D54">
        <v>2046</v>
      </c>
      <c r="E54">
        <v>247488.040194036</v>
      </c>
      <c r="F54">
        <v>617395.22617543198</v>
      </c>
      <c r="G54">
        <v>3248343.0873495</v>
      </c>
      <c r="H54">
        <v>3552682.9365789099</v>
      </c>
      <c r="I54">
        <v>362768.97187886998</v>
      </c>
      <c r="J54">
        <v>396757.08558418998</v>
      </c>
      <c r="K54" s="1">
        <f>(G54/I54)^(1/(D54-$D$2))-1</f>
        <v>0.10000000000000009</v>
      </c>
    </row>
    <row r="55" spans="1:11" x14ac:dyDescent="0.35">
      <c r="A55">
        <v>102</v>
      </c>
      <c r="B55" t="s">
        <v>10</v>
      </c>
      <c r="C55" t="s">
        <v>14</v>
      </c>
      <c r="D55">
        <v>2047</v>
      </c>
      <c r="E55">
        <v>255945.83550523099</v>
      </c>
      <c r="F55">
        <v>649699.61487453699</v>
      </c>
      <c r="G55">
        <v>3380653.2629255899</v>
      </c>
      <c r="H55">
        <v>3720326.9693987998</v>
      </c>
      <c r="I55">
        <v>343222.84413149202</v>
      </c>
      <c r="J55">
        <v>377708.420304286</v>
      </c>
      <c r="K55" s="1">
        <f>(G55/I55)^(1/(D55-$D$2))-1</f>
        <v>0.10000000000000009</v>
      </c>
    </row>
    <row r="56" spans="1:11" x14ac:dyDescent="0.35">
      <c r="A56">
        <v>102</v>
      </c>
      <c r="B56" t="s">
        <v>10</v>
      </c>
      <c r="C56" t="s">
        <v>14</v>
      </c>
      <c r="D56">
        <v>2048</v>
      </c>
      <c r="E56">
        <v>264403.62991648202</v>
      </c>
      <c r="F56">
        <v>682004.00357364304</v>
      </c>
      <c r="G56">
        <v>3514065.5260222098</v>
      </c>
      <c r="H56">
        <v>3891026.5283886902</v>
      </c>
      <c r="I56">
        <v>324334.18538382999</v>
      </c>
      <c r="J56">
        <v>359126.17737107002</v>
      </c>
      <c r="K56" s="1">
        <f>(G56/I56)^(1/(D56-$D$2))-1</f>
        <v>0.10000000000000009</v>
      </c>
    </row>
    <row r="57" spans="1:11" x14ac:dyDescent="0.35">
      <c r="A57">
        <v>102</v>
      </c>
      <c r="B57" t="s">
        <v>10</v>
      </c>
      <c r="C57" t="s">
        <v>14</v>
      </c>
      <c r="D57">
        <v>2049</v>
      </c>
      <c r="E57">
        <v>272861.424265087</v>
      </c>
      <c r="F57">
        <v>714308.39227274805</v>
      </c>
      <c r="G57">
        <v>3648572.6885648798</v>
      </c>
      <c r="H57">
        <v>4064781.6255340199</v>
      </c>
      <c r="I57">
        <v>306135.14382970001</v>
      </c>
      <c r="J57">
        <v>341057.34318222897</v>
      </c>
      <c r="K57" s="1">
        <f>(G57/I57)^(1/(D57-$D$2))-1</f>
        <v>0.10000000000000009</v>
      </c>
    </row>
    <row r="58" spans="1:11" x14ac:dyDescent="0.35">
      <c r="A58">
        <v>102</v>
      </c>
      <c r="B58" t="s">
        <v>10</v>
      </c>
      <c r="C58" t="s">
        <v>14</v>
      </c>
      <c r="D58">
        <v>2050</v>
      </c>
      <c r="E58">
        <v>281319.218481599</v>
      </c>
      <c r="F58">
        <v>746612.78097185399</v>
      </c>
      <c r="G58">
        <v>3784167.4585366501</v>
      </c>
      <c r="H58">
        <v>4241592.25975376</v>
      </c>
      <c r="I58">
        <v>288647.53128496202</v>
      </c>
      <c r="J58">
        <v>323538.83592899301</v>
      </c>
      <c r="K58" s="1">
        <f>(G58/I58)^(1/(D58-$D$2))-1</f>
        <v>0.10000000000000009</v>
      </c>
    </row>
    <row r="59" spans="1:11" x14ac:dyDescent="0.35">
      <c r="A59">
        <v>102</v>
      </c>
      <c r="B59" t="s">
        <v>10</v>
      </c>
      <c r="C59" t="s">
        <v>14</v>
      </c>
      <c r="D59">
        <v>2051</v>
      </c>
      <c r="E59" t="s">
        <v>12</v>
      </c>
      <c r="F59" t="s">
        <v>12</v>
      </c>
      <c r="G59">
        <v>3897692.4822927499</v>
      </c>
      <c r="H59">
        <v>4368840.0275463704</v>
      </c>
      <c r="I59">
        <v>55681321.175610699</v>
      </c>
      <c r="J59">
        <v>62412000.393519603</v>
      </c>
      <c r="K59" s="1">
        <f>(G59/I59)^(1/(D59-$D$2))-1</f>
        <v>-9.0603032986147247E-2</v>
      </c>
    </row>
    <row r="60" spans="1:11" x14ac:dyDescent="0.35">
      <c r="A60">
        <v>103</v>
      </c>
      <c r="B60" t="s">
        <v>15</v>
      </c>
      <c r="C60" t="s">
        <v>15</v>
      </c>
      <c r="D60">
        <v>2023</v>
      </c>
      <c r="E60">
        <v>25170000</v>
      </c>
      <c r="F60">
        <v>25170000</v>
      </c>
      <c r="G60">
        <v>104753320.48358101</v>
      </c>
      <c r="H60">
        <v>104753320.48358101</v>
      </c>
      <c r="I60">
        <v>104753320.48358101</v>
      </c>
      <c r="J60">
        <v>104753320.48358101</v>
      </c>
      <c r="K60" s="1" t="e">
        <f>(G60/I60)^(1/(D60-$D$2))-1</f>
        <v>#DIV/0!</v>
      </c>
    </row>
    <row r="61" spans="1:11" x14ac:dyDescent="0.35">
      <c r="A61">
        <v>103</v>
      </c>
      <c r="B61" t="s">
        <v>15</v>
      </c>
      <c r="C61" t="s">
        <v>15</v>
      </c>
      <c r="D61">
        <v>2024</v>
      </c>
      <c r="E61">
        <v>25170000</v>
      </c>
      <c r="F61">
        <v>25170000</v>
      </c>
      <c r="G61">
        <v>104528665.865043</v>
      </c>
      <c r="H61">
        <v>104528665.865043</v>
      </c>
      <c r="I61">
        <v>95026059.877311796</v>
      </c>
      <c r="J61">
        <v>95026059.877311796</v>
      </c>
      <c r="K61" s="1">
        <f>(G61/I61)^(1/(D61-$D$2))-1</f>
        <v>0.10000000000000031</v>
      </c>
    </row>
    <row r="62" spans="1:11" x14ac:dyDescent="0.35">
      <c r="A62">
        <v>103</v>
      </c>
      <c r="B62" t="s">
        <v>15</v>
      </c>
      <c r="C62" t="s">
        <v>15</v>
      </c>
      <c r="D62">
        <v>2025</v>
      </c>
      <c r="E62">
        <v>25170000</v>
      </c>
      <c r="F62">
        <v>25170000</v>
      </c>
      <c r="G62">
        <v>104304011.24650501</v>
      </c>
      <c r="H62">
        <v>104304011.24650501</v>
      </c>
      <c r="I62">
        <v>86201662.187194198</v>
      </c>
      <c r="J62">
        <v>86201662.187194198</v>
      </c>
      <c r="K62" s="1">
        <f>(G62/I62)^(1/(D62-$D$2))-1</f>
        <v>0.10000000000000009</v>
      </c>
    </row>
    <row r="63" spans="1:11" x14ac:dyDescent="0.35">
      <c r="A63">
        <v>103</v>
      </c>
      <c r="B63" t="s">
        <v>15</v>
      </c>
      <c r="C63" t="s">
        <v>15</v>
      </c>
      <c r="D63">
        <v>2026</v>
      </c>
      <c r="E63">
        <v>25170000</v>
      </c>
      <c r="F63">
        <v>25170000</v>
      </c>
      <c r="G63">
        <v>104611777.753749</v>
      </c>
      <c r="H63">
        <v>104611777.753749</v>
      </c>
      <c r="I63">
        <v>78596376.975017995</v>
      </c>
      <c r="J63">
        <v>78596376.975017995</v>
      </c>
      <c r="K63" s="1">
        <f>(G63/I63)^(1/(D63-$D$2))-1</f>
        <v>0.10000000000000009</v>
      </c>
    </row>
    <row r="64" spans="1:11" x14ac:dyDescent="0.35">
      <c r="A64">
        <v>103</v>
      </c>
      <c r="B64" t="s">
        <v>15</v>
      </c>
      <c r="C64" t="s">
        <v>15</v>
      </c>
      <c r="D64">
        <v>2027</v>
      </c>
      <c r="E64">
        <v>25170000</v>
      </c>
      <c r="F64">
        <v>25170000</v>
      </c>
      <c r="G64">
        <v>104919544.260993</v>
      </c>
      <c r="H64">
        <v>104919544.260993</v>
      </c>
      <c r="I64">
        <v>71661460.461029306</v>
      </c>
      <c r="J64">
        <v>71661460.461029306</v>
      </c>
      <c r="K64" s="1">
        <f>(G64/I64)^(1/(D64-$D$2))-1</f>
        <v>0.10000000000000009</v>
      </c>
    </row>
    <row r="65" spans="1:11" x14ac:dyDescent="0.35">
      <c r="A65">
        <v>103</v>
      </c>
      <c r="B65" t="s">
        <v>15</v>
      </c>
      <c r="C65" t="s">
        <v>15</v>
      </c>
      <c r="D65">
        <v>2028</v>
      </c>
      <c r="E65">
        <v>25170000</v>
      </c>
      <c r="F65">
        <v>25170000</v>
      </c>
      <c r="G65">
        <v>105227310.78585599</v>
      </c>
      <c r="H65">
        <v>105227310.78585599</v>
      </c>
      <c r="I65">
        <v>65337881.0351106</v>
      </c>
      <c r="J65">
        <v>65337881.0351106</v>
      </c>
      <c r="K65" s="1">
        <f>(G65/I65)^(1/(D65-$D$2))-1</f>
        <v>0.10000000000000009</v>
      </c>
    </row>
    <row r="66" spans="1:11" x14ac:dyDescent="0.35">
      <c r="A66">
        <v>103</v>
      </c>
      <c r="B66" t="s">
        <v>15</v>
      </c>
      <c r="C66" t="s">
        <v>15</v>
      </c>
      <c r="D66">
        <v>2029</v>
      </c>
      <c r="E66">
        <v>25170000</v>
      </c>
      <c r="F66">
        <v>25170000</v>
      </c>
      <c r="G66">
        <v>105535077.2931</v>
      </c>
      <c r="H66">
        <v>105535077.2931</v>
      </c>
      <c r="I66">
        <v>59571799.838165298</v>
      </c>
      <c r="J66">
        <v>59571799.838165298</v>
      </c>
      <c r="K66" s="1">
        <f>(G66/I66)^(1/(D66-$D$2))-1</f>
        <v>0.10000000000000009</v>
      </c>
    </row>
    <row r="67" spans="1:11" x14ac:dyDescent="0.35">
      <c r="A67">
        <v>103</v>
      </c>
      <c r="B67" t="s">
        <v>15</v>
      </c>
      <c r="C67" t="s">
        <v>15</v>
      </c>
      <c r="D67">
        <v>2030</v>
      </c>
      <c r="E67">
        <v>25298032.246049799</v>
      </c>
      <c r="F67">
        <v>23958209.827390201</v>
      </c>
      <c r="G67">
        <v>106381234.623548</v>
      </c>
      <c r="H67">
        <v>100747121.990319</v>
      </c>
      <c r="I67">
        <v>54590394.174479403</v>
      </c>
      <c r="J67">
        <v>51699203.537711598</v>
      </c>
      <c r="K67" s="1">
        <f>(G67/I67)^(1/(D67-$D$2))-1</f>
        <v>9.9999999999999423E-2</v>
      </c>
    </row>
    <row r="68" spans="1:11" x14ac:dyDescent="0.35">
      <c r="A68">
        <v>103</v>
      </c>
      <c r="B68" t="s">
        <v>15</v>
      </c>
      <c r="C68" t="s">
        <v>15</v>
      </c>
      <c r="D68">
        <v>2031</v>
      </c>
      <c r="E68">
        <v>25362074.826577801</v>
      </c>
      <c r="F68">
        <v>22746419.6547805</v>
      </c>
      <c r="G68">
        <v>107186778.90639099</v>
      </c>
      <c r="H68">
        <v>97035243.991269499</v>
      </c>
      <c r="I68">
        <v>50003423.420740202</v>
      </c>
      <c r="J68">
        <v>45267657.462379403</v>
      </c>
      <c r="K68" s="1">
        <f t="shared" ref="K68:K131" si="0">(G68/I68)^(1/(D68-$D$2))-1</f>
        <v>0.10000000000000053</v>
      </c>
    </row>
    <row r="69" spans="1:11" x14ac:dyDescent="0.35">
      <c r="A69">
        <v>103</v>
      </c>
      <c r="B69" t="s">
        <v>15</v>
      </c>
      <c r="C69" t="s">
        <v>15</v>
      </c>
      <c r="D69">
        <v>2032</v>
      </c>
      <c r="E69">
        <v>25426117.4071058</v>
      </c>
      <c r="F69">
        <v>21534629.482170701</v>
      </c>
      <c r="G69">
        <v>107995031.33048999</v>
      </c>
      <c r="H69">
        <v>93175920.516754493</v>
      </c>
      <c r="I69">
        <v>45800435.5833226</v>
      </c>
      <c r="J69">
        <v>39515685.980819501</v>
      </c>
      <c r="K69" s="1">
        <f t="shared" si="0"/>
        <v>0.10000000000000031</v>
      </c>
    </row>
    <row r="70" spans="1:11" x14ac:dyDescent="0.35">
      <c r="A70">
        <v>103</v>
      </c>
      <c r="B70" t="s">
        <v>15</v>
      </c>
      <c r="C70" t="s">
        <v>15</v>
      </c>
      <c r="D70">
        <v>2033</v>
      </c>
      <c r="E70">
        <v>25490160.007009398</v>
      </c>
      <c r="F70">
        <v>20322839.309560999</v>
      </c>
      <c r="G70">
        <v>108805991.978552</v>
      </c>
      <c r="H70">
        <v>89169151.566774204</v>
      </c>
      <c r="I70">
        <v>41949420.057053998</v>
      </c>
      <c r="J70">
        <v>34378568.010694601</v>
      </c>
      <c r="K70" s="1">
        <f t="shared" si="0"/>
        <v>0.10000000000000053</v>
      </c>
    </row>
    <row r="71" spans="1:11" x14ac:dyDescent="0.35">
      <c r="A71">
        <v>103</v>
      </c>
      <c r="B71" t="s">
        <v>15</v>
      </c>
      <c r="C71" t="s">
        <v>15</v>
      </c>
      <c r="D71">
        <v>2034</v>
      </c>
      <c r="E71">
        <v>25554202.5875374</v>
      </c>
      <c r="F71">
        <v>19111049.136951201</v>
      </c>
      <c r="G71">
        <v>109619660.685573</v>
      </c>
      <c r="H71">
        <v>85014937.141328499</v>
      </c>
      <c r="I71">
        <v>38421022.333513699</v>
      </c>
      <c r="J71">
        <v>29797216.832829699</v>
      </c>
      <c r="K71" s="1">
        <f t="shared" si="0"/>
        <v>9.9999999999999645E-2</v>
      </c>
    </row>
    <row r="72" spans="1:11" x14ac:dyDescent="0.35">
      <c r="A72">
        <v>103</v>
      </c>
      <c r="B72" t="s">
        <v>15</v>
      </c>
      <c r="C72" t="s">
        <v>15</v>
      </c>
      <c r="D72">
        <v>2035</v>
      </c>
      <c r="E72">
        <v>25618245.168065399</v>
      </c>
      <c r="F72">
        <v>17899258.964341499</v>
      </c>
      <c r="G72">
        <v>110436037.533852</v>
      </c>
      <c r="H72">
        <v>80713277.240417495</v>
      </c>
      <c r="I72">
        <v>35188324.944102898</v>
      </c>
      <c r="J72">
        <v>25717737.527196899</v>
      </c>
      <c r="K72" s="1">
        <f t="shared" si="0"/>
        <v>0.10000000000000009</v>
      </c>
    </row>
    <row r="73" spans="1:11" x14ac:dyDescent="0.35">
      <c r="A73">
        <v>103</v>
      </c>
      <c r="B73" t="s">
        <v>15</v>
      </c>
      <c r="C73" t="s">
        <v>15</v>
      </c>
      <c r="D73">
        <v>2036</v>
      </c>
      <c r="E73">
        <v>25675742.582781199</v>
      </c>
      <c r="F73">
        <v>16687468.7917317</v>
      </c>
      <c r="G73">
        <v>110910268.96067201</v>
      </c>
      <c r="H73">
        <v>76264171.864041194</v>
      </c>
      <c r="I73">
        <v>32126754.264922399</v>
      </c>
      <c r="J73">
        <v>22091014.0391296</v>
      </c>
      <c r="K73" s="1">
        <f t="shared" si="0"/>
        <v>9.9999999999999645E-2</v>
      </c>
    </row>
    <row r="74" spans="1:11" x14ac:dyDescent="0.35">
      <c r="A74">
        <v>103</v>
      </c>
      <c r="B74" t="s">
        <v>15</v>
      </c>
      <c r="C74" t="s">
        <v>15</v>
      </c>
      <c r="D74">
        <v>2037</v>
      </c>
      <c r="E74">
        <v>25733239.997496899</v>
      </c>
      <c r="F74">
        <v>15475678.619122</v>
      </c>
      <c r="G74">
        <v>111385514.236509</v>
      </c>
      <c r="H74">
        <v>71667621.012199506</v>
      </c>
      <c r="I74">
        <v>29331287.1754275</v>
      </c>
      <c r="J74">
        <v>18872324.534275301</v>
      </c>
      <c r="K74" s="1">
        <f t="shared" si="0"/>
        <v>0.10000000000000031</v>
      </c>
    </row>
    <row r="75" spans="1:11" x14ac:dyDescent="0.35">
      <c r="A75">
        <v>103</v>
      </c>
      <c r="B75" t="s">
        <v>15</v>
      </c>
      <c r="C75" t="s">
        <v>15</v>
      </c>
      <c r="D75">
        <v>2038</v>
      </c>
      <c r="E75">
        <v>25790737.4122127</v>
      </c>
      <c r="F75">
        <v>14263888.4465122</v>
      </c>
      <c r="G75">
        <v>111861773.361361</v>
      </c>
      <c r="H75">
        <v>66923624.684892498</v>
      </c>
      <c r="I75">
        <v>26778819.171045002</v>
      </c>
      <c r="J75">
        <v>16020983.6645291</v>
      </c>
      <c r="K75" s="1">
        <f t="shared" si="0"/>
        <v>0.10000000000000031</v>
      </c>
    </row>
    <row r="76" spans="1:11" x14ac:dyDescent="0.35">
      <c r="A76">
        <v>103</v>
      </c>
      <c r="B76" t="s">
        <v>15</v>
      </c>
      <c r="C76" t="s">
        <v>15</v>
      </c>
      <c r="D76">
        <v>2039</v>
      </c>
      <c r="E76">
        <v>25848234.8269285</v>
      </c>
      <c r="F76">
        <v>13052098.2739025</v>
      </c>
      <c r="G76">
        <v>112339046.33522899</v>
      </c>
      <c r="H76">
        <v>62032182.8821202</v>
      </c>
      <c r="I76">
        <v>24448249.569425199</v>
      </c>
      <c r="J76">
        <v>13500010.351812299</v>
      </c>
      <c r="K76" s="1">
        <f t="shared" si="0"/>
        <v>0.10000000000000053</v>
      </c>
    </row>
    <row r="77" spans="1:11" x14ac:dyDescent="0.35">
      <c r="A77">
        <v>103</v>
      </c>
      <c r="B77" t="s">
        <v>15</v>
      </c>
      <c r="C77" t="s">
        <v>15</v>
      </c>
      <c r="D77">
        <v>2040</v>
      </c>
      <c r="E77">
        <v>25905732.241644301</v>
      </c>
      <c r="F77">
        <v>11840308.1012927</v>
      </c>
      <c r="G77">
        <v>112817333.158112</v>
      </c>
      <c r="H77">
        <v>56993295.603882499</v>
      </c>
      <c r="I77">
        <v>22320307.924862899</v>
      </c>
      <c r="J77">
        <v>11275819.6982776</v>
      </c>
      <c r="K77" s="1">
        <f t="shared" si="0"/>
        <v>0.10000000000000009</v>
      </c>
    </row>
    <row r="78" spans="1:11" x14ac:dyDescent="0.35">
      <c r="A78">
        <v>103</v>
      </c>
      <c r="B78" t="s">
        <v>15</v>
      </c>
      <c r="C78" t="s">
        <v>15</v>
      </c>
      <c r="D78">
        <v>2041</v>
      </c>
      <c r="E78">
        <v>25924151.158955202</v>
      </c>
      <c r="F78">
        <v>10628517.928683</v>
      </c>
      <c r="G78">
        <v>113154201.182988</v>
      </c>
      <c r="H78">
        <v>51806962.850179501</v>
      </c>
      <c r="I78">
        <v>20351777.6979159</v>
      </c>
      <c r="J78">
        <v>9317937.6471048594</v>
      </c>
      <c r="K78" s="1">
        <f t="shared" si="0"/>
        <v>0.10000000000000009</v>
      </c>
    </row>
    <row r="79" spans="1:11" x14ac:dyDescent="0.35">
      <c r="A79">
        <v>103</v>
      </c>
      <c r="B79" t="s">
        <v>15</v>
      </c>
      <c r="C79" t="s">
        <v>15</v>
      </c>
      <c r="D79">
        <v>2042</v>
      </c>
      <c r="E79">
        <v>25942570.0956419</v>
      </c>
      <c r="F79">
        <v>9416727.7560732309</v>
      </c>
      <c r="G79">
        <v>113491433.99579801</v>
      </c>
      <c r="H79">
        <v>46473184.621011101</v>
      </c>
      <c r="I79">
        <v>18556756.3486779</v>
      </c>
      <c r="J79">
        <v>7598737.0446932102</v>
      </c>
      <c r="K79" s="1">
        <f t="shared" si="0"/>
        <v>9.9999999999999867E-2</v>
      </c>
    </row>
    <row r="80" spans="1:11" x14ac:dyDescent="0.35">
      <c r="A80">
        <v>103</v>
      </c>
      <c r="B80" t="s">
        <v>15</v>
      </c>
      <c r="C80" t="s">
        <v>15</v>
      </c>
      <c r="D80">
        <v>2043</v>
      </c>
      <c r="E80">
        <v>25960989.012952901</v>
      </c>
      <c r="F80">
        <v>8204937.5834634798</v>
      </c>
      <c r="G80">
        <v>113829031.427209</v>
      </c>
      <c r="H80">
        <v>40991960.916377403</v>
      </c>
      <c r="I80">
        <v>16919960.205814701</v>
      </c>
      <c r="J80">
        <v>6093193.7904342301</v>
      </c>
      <c r="K80" s="1">
        <f t="shared" si="0"/>
        <v>9.9999999999999645E-2</v>
      </c>
    </row>
    <row r="81" spans="1:11" x14ac:dyDescent="0.35">
      <c r="A81">
        <v>103</v>
      </c>
      <c r="B81" t="s">
        <v>15</v>
      </c>
      <c r="C81" t="s">
        <v>15</v>
      </c>
      <c r="D81">
        <v>2044</v>
      </c>
      <c r="E81">
        <v>25979407.9496396</v>
      </c>
      <c r="F81">
        <v>6993147.4108537203</v>
      </c>
      <c r="G81">
        <v>114166993.62875301</v>
      </c>
      <c r="H81">
        <v>35363291.7362784</v>
      </c>
      <c r="I81">
        <v>15427451.0305338</v>
      </c>
      <c r="J81">
        <v>4778661.8023242103</v>
      </c>
      <c r="K81" s="1">
        <f t="shared" si="0"/>
        <v>9.9999999999999867E-2</v>
      </c>
    </row>
    <row r="82" spans="1:11" x14ac:dyDescent="0.35">
      <c r="A82">
        <v>103</v>
      </c>
      <c r="B82" t="s">
        <v>15</v>
      </c>
      <c r="C82" t="s">
        <v>15</v>
      </c>
      <c r="D82">
        <v>2045</v>
      </c>
      <c r="E82">
        <v>25997826.866950601</v>
      </c>
      <c r="F82">
        <v>5781357.2382439701</v>
      </c>
      <c r="G82">
        <v>114505320.46668699</v>
      </c>
      <c r="H82">
        <v>29587177.080714099</v>
      </c>
      <c r="I82">
        <v>14066517.5720955</v>
      </c>
      <c r="J82">
        <v>3634665.5737769599</v>
      </c>
      <c r="K82" s="1">
        <f t="shared" si="0"/>
        <v>0.10000000000000009</v>
      </c>
    </row>
    <row r="83" spans="1:11" x14ac:dyDescent="0.35">
      <c r="A83">
        <v>103</v>
      </c>
      <c r="B83" t="s">
        <v>15</v>
      </c>
      <c r="C83" t="s">
        <v>15</v>
      </c>
      <c r="D83">
        <v>2046</v>
      </c>
      <c r="E83">
        <v>25977972.540484399</v>
      </c>
      <c r="F83">
        <v>4569567.0656342199</v>
      </c>
      <c r="G83">
        <v>114548392.43306699</v>
      </c>
      <c r="H83">
        <v>23663616.9496844</v>
      </c>
      <c r="I83">
        <v>12792553.445217401</v>
      </c>
      <c r="J83">
        <v>2642709.1476894799</v>
      </c>
      <c r="K83" s="1">
        <f t="shared" si="0"/>
        <v>0.10000000000000031</v>
      </c>
    </row>
    <row r="84" spans="1:11" x14ac:dyDescent="0.35">
      <c r="A84">
        <v>103</v>
      </c>
      <c r="B84" t="s">
        <v>15</v>
      </c>
      <c r="C84" t="s">
        <v>15</v>
      </c>
      <c r="D84">
        <v>2047</v>
      </c>
      <c r="E84">
        <v>25958118.214018099</v>
      </c>
      <c r="F84">
        <v>3357776.8930244702</v>
      </c>
      <c r="G84">
        <v>114591264.876744</v>
      </c>
      <c r="H84">
        <v>17592611.343189299</v>
      </c>
      <c r="I84">
        <v>11633946.691588501</v>
      </c>
      <c r="J84">
        <v>1786100.38690688</v>
      </c>
      <c r="K84" s="1">
        <f t="shared" si="0"/>
        <v>0.10000000000000031</v>
      </c>
    </row>
    <row r="85" spans="1:11" x14ac:dyDescent="0.35">
      <c r="A85">
        <v>103</v>
      </c>
      <c r="B85" t="s">
        <v>15</v>
      </c>
      <c r="C85" t="s">
        <v>15</v>
      </c>
      <c r="D85">
        <v>2048</v>
      </c>
      <c r="E85">
        <v>25938263.906927601</v>
      </c>
      <c r="F85">
        <v>2145986.72041472</v>
      </c>
      <c r="G85">
        <v>114633937.91970401</v>
      </c>
      <c r="H85">
        <v>11374160.261228999</v>
      </c>
      <c r="I85">
        <v>10580253.725266701</v>
      </c>
      <c r="J85">
        <v>1049789.47473602</v>
      </c>
      <c r="K85" s="1">
        <f t="shared" si="0"/>
        <v>9.9999999999999867E-2</v>
      </c>
    </row>
    <row r="86" spans="1:11" x14ac:dyDescent="0.35">
      <c r="A86">
        <v>103</v>
      </c>
      <c r="B86" t="s">
        <v>15</v>
      </c>
      <c r="C86" t="s">
        <v>15</v>
      </c>
      <c r="D86">
        <v>2049</v>
      </c>
      <c r="E86">
        <v>25918409.580461401</v>
      </c>
      <c r="F86">
        <v>934196.54780496296</v>
      </c>
      <c r="G86">
        <v>114676411.35445701</v>
      </c>
      <c r="H86">
        <v>5008263.7038032403</v>
      </c>
      <c r="I86">
        <v>9621976.2302938495</v>
      </c>
      <c r="J86">
        <v>420220.63425134501</v>
      </c>
      <c r="K86" s="1">
        <f t="shared" si="0"/>
        <v>9.9999999999999867E-2</v>
      </c>
    </row>
    <row r="87" spans="1:11" x14ac:dyDescent="0.35">
      <c r="A87">
        <v>103</v>
      </c>
      <c r="B87" t="s">
        <v>15</v>
      </c>
      <c r="C87" t="s">
        <v>15</v>
      </c>
      <c r="D87">
        <v>2050</v>
      </c>
      <c r="E87">
        <v>25898555.253995199</v>
      </c>
      <c r="F87">
        <v>0</v>
      </c>
      <c r="G87">
        <v>114718685.302835</v>
      </c>
      <c r="H87">
        <v>0</v>
      </c>
      <c r="I87">
        <v>8750475.6773435101</v>
      </c>
      <c r="J87">
        <v>0</v>
      </c>
      <c r="K87" s="1">
        <f t="shared" si="0"/>
        <v>0.10000000000000009</v>
      </c>
    </row>
    <row r="88" spans="1:11" x14ac:dyDescent="0.35">
      <c r="A88">
        <v>103</v>
      </c>
      <c r="B88" t="s">
        <v>15</v>
      </c>
      <c r="C88" t="s">
        <v>15</v>
      </c>
      <c r="D88">
        <v>2051</v>
      </c>
      <c r="E88" t="s">
        <v>12</v>
      </c>
      <c r="F88" t="s">
        <v>12</v>
      </c>
      <c r="G88">
        <v>118160245.86192</v>
      </c>
      <c r="H88">
        <v>0</v>
      </c>
      <c r="I88">
        <v>1688003512.3131399</v>
      </c>
      <c r="J88">
        <v>0</v>
      </c>
      <c r="K88" s="1">
        <f t="shared" si="0"/>
        <v>-9.0603032986147247E-2</v>
      </c>
    </row>
    <row r="89" spans="1:11" x14ac:dyDescent="0.35">
      <c r="A89">
        <v>104</v>
      </c>
      <c r="B89" t="s">
        <v>10</v>
      </c>
      <c r="C89" t="s">
        <v>14</v>
      </c>
      <c r="D89">
        <v>2023</v>
      </c>
      <c r="E89">
        <v>127236.094308</v>
      </c>
      <c r="F89">
        <v>127236.094308</v>
      </c>
      <c r="G89">
        <v>2272911.21415682</v>
      </c>
      <c r="H89">
        <v>2272911.21415682</v>
      </c>
      <c r="I89">
        <v>2272911.21415682</v>
      </c>
      <c r="J89">
        <v>2272911.21415682</v>
      </c>
      <c r="K89" s="1" t="e">
        <f t="shared" si="0"/>
        <v>#DIV/0!</v>
      </c>
    </row>
    <row r="90" spans="1:11" x14ac:dyDescent="0.35">
      <c r="A90">
        <v>104</v>
      </c>
      <c r="B90" t="s">
        <v>10</v>
      </c>
      <c r="C90" t="s">
        <v>14</v>
      </c>
      <c r="D90">
        <v>2024</v>
      </c>
      <c r="E90">
        <v>127395.17415599999</v>
      </c>
      <c r="F90">
        <v>127395.17415599999</v>
      </c>
      <c r="G90">
        <v>2315851.5637313402</v>
      </c>
      <c r="H90">
        <v>2315851.5637313402</v>
      </c>
      <c r="I90">
        <v>2105319.6033921302</v>
      </c>
      <c r="J90">
        <v>2105319.6033921302</v>
      </c>
      <c r="K90" s="1">
        <f t="shared" si="0"/>
        <v>9.9999999999998535E-2</v>
      </c>
    </row>
    <row r="91" spans="1:11" x14ac:dyDescent="0.35">
      <c r="A91">
        <v>104</v>
      </c>
      <c r="B91" t="s">
        <v>10</v>
      </c>
      <c r="C91" t="s">
        <v>14</v>
      </c>
      <c r="D91">
        <v>2025</v>
      </c>
      <c r="E91">
        <v>127510.38699</v>
      </c>
      <c r="F91">
        <v>127510.38699</v>
      </c>
      <c r="G91">
        <v>2356044.0495831198</v>
      </c>
      <c r="H91">
        <v>2356044.0495831198</v>
      </c>
      <c r="I91">
        <v>1947143.84263068</v>
      </c>
      <c r="J91">
        <v>1947143.84263068</v>
      </c>
      <c r="K91" s="1">
        <f t="shared" si="0"/>
        <v>9.9999999999999201E-2</v>
      </c>
    </row>
    <row r="92" spans="1:11" x14ac:dyDescent="0.35">
      <c r="A92">
        <v>104</v>
      </c>
      <c r="B92" t="s">
        <v>10</v>
      </c>
      <c r="C92" t="s">
        <v>14</v>
      </c>
      <c r="D92">
        <v>2026</v>
      </c>
      <c r="E92">
        <v>127108.14750000001</v>
      </c>
      <c r="F92">
        <v>127108.14750000001</v>
      </c>
      <c r="G92">
        <v>2384870.4675745401</v>
      </c>
      <c r="H92">
        <v>2384870.4675745401</v>
      </c>
      <c r="I92">
        <v>1791788.48052182</v>
      </c>
      <c r="J92">
        <v>1791788.48052182</v>
      </c>
      <c r="K92" s="1">
        <f t="shared" si="0"/>
        <v>9.9999999999999645E-2</v>
      </c>
    </row>
    <row r="93" spans="1:11" x14ac:dyDescent="0.35">
      <c r="A93">
        <v>104</v>
      </c>
      <c r="B93" t="s">
        <v>10</v>
      </c>
      <c r="C93" t="s">
        <v>14</v>
      </c>
      <c r="D93">
        <v>2027</v>
      </c>
      <c r="E93">
        <v>126793.865418</v>
      </c>
      <c r="F93">
        <v>126793.865418</v>
      </c>
      <c r="G93">
        <v>2413675.2752212002</v>
      </c>
      <c r="H93">
        <v>2413675.2752212002</v>
      </c>
      <c r="I93">
        <v>1648572.6898580701</v>
      </c>
      <c r="J93">
        <v>1648572.6898580701</v>
      </c>
      <c r="K93" s="1">
        <f t="shared" si="0"/>
        <v>0.10000000000000009</v>
      </c>
    </row>
    <row r="94" spans="1:11" x14ac:dyDescent="0.35">
      <c r="A94">
        <v>104</v>
      </c>
      <c r="B94" t="s">
        <v>10</v>
      </c>
      <c r="C94" t="s">
        <v>14</v>
      </c>
      <c r="D94">
        <v>2028</v>
      </c>
      <c r="E94">
        <v>126541.533618</v>
      </c>
      <c r="F94">
        <v>126541.533618</v>
      </c>
      <c r="G94">
        <v>2442236.9581744298</v>
      </c>
      <c r="H94">
        <v>2442236.9581744298</v>
      </c>
      <c r="I94">
        <v>1516437.00329363</v>
      </c>
      <c r="J94">
        <v>1516437.00329363</v>
      </c>
      <c r="K94" s="1">
        <f t="shared" si="0"/>
        <v>0.10000000000000053</v>
      </c>
    </row>
    <row r="95" spans="1:11" x14ac:dyDescent="0.35">
      <c r="A95">
        <v>104</v>
      </c>
      <c r="B95" t="s">
        <v>10</v>
      </c>
      <c r="C95" t="s">
        <v>14</v>
      </c>
      <c r="D95">
        <v>2029</v>
      </c>
      <c r="E95">
        <v>126334.47831599999</v>
      </c>
      <c r="F95">
        <v>126334.47831599999</v>
      </c>
      <c r="G95">
        <v>2470303.2739909701</v>
      </c>
      <c r="H95">
        <v>2470303.2739909701</v>
      </c>
      <c r="I95">
        <v>1394421.79749439</v>
      </c>
      <c r="J95">
        <v>1394421.79749439</v>
      </c>
      <c r="K95" s="1">
        <f t="shared" si="0"/>
        <v>0.10000000000000075</v>
      </c>
    </row>
    <row r="96" spans="1:11" x14ac:dyDescent="0.35">
      <c r="A96">
        <v>104</v>
      </c>
      <c r="B96" t="s">
        <v>10</v>
      </c>
      <c r="C96" t="s">
        <v>14</v>
      </c>
      <c r="D96">
        <v>2030</v>
      </c>
      <c r="E96">
        <v>150337.989477597</v>
      </c>
      <c r="F96">
        <v>186157.42035137999</v>
      </c>
      <c r="G96">
        <v>2976300.4436295298</v>
      </c>
      <c r="H96">
        <v>2976300.4436295298</v>
      </c>
      <c r="I96">
        <v>1527312.7349421501</v>
      </c>
      <c r="J96">
        <v>1527312.7349421501</v>
      </c>
      <c r="K96" s="1">
        <f t="shared" si="0"/>
        <v>9.9999999999999645E-2</v>
      </c>
    </row>
    <row r="97" spans="1:11" x14ac:dyDescent="0.35">
      <c r="A97">
        <v>104</v>
      </c>
      <c r="B97" t="s">
        <v>10</v>
      </c>
      <c r="C97" t="s">
        <v>14</v>
      </c>
      <c r="D97">
        <v>2031</v>
      </c>
      <c r="E97">
        <v>171355.50754865399</v>
      </c>
      <c r="F97">
        <v>245980.362386761</v>
      </c>
      <c r="G97">
        <v>3432519.2509079999</v>
      </c>
      <c r="H97">
        <v>3445841.5527224299</v>
      </c>
      <c r="I97">
        <v>1601295.5632605699</v>
      </c>
      <c r="J97">
        <v>1607510.51537838</v>
      </c>
      <c r="K97" s="1">
        <f t="shared" si="0"/>
        <v>9.9999999999999867E-2</v>
      </c>
    </row>
    <row r="98" spans="1:11" x14ac:dyDescent="0.35">
      <c r="A98">
        <v>104</v>
      </c>
      <c r="B98" t="s">
        <v>10</v>
      </c>
      <c r="C98" t="s">
        <v>14</v>
      </c>
      <c r="D98">
        <v>2032</v>
      </c>
      <c r="E98">
        <v>192373.02505762101</v>
      </c>
      <c r="F98">
        <v>305803.30442214099</v>
      </c>
      <c r="G98">
        <v>3896756.28866053</v>
      </c>
      <c r="H98">
        <v>3928494.1718192501</v>
      </c>
      <c r="I98">
        <v>1652605.0613989299</v>
      </c>
      <c r="J98">
        <v>1666065.02205873</v>
      </c>
      <c r="K98" s="1">
        <f t="shared" si="0"/>
        <v>0.10000000000000031</v>
      </c>
    </row>
    <row r="99" spans="1:11" x14ac:dyDescent="0.35">
      <c r="A99">
        <v>104</v>
      </c>
      <c r="B99" t="s">
        <v>10</v>
      </c>
      <c r="C99" t="s">
        <v>14</v>
      </c>
      <c r="D99">
        <v>2033</v>
      </c>
      <c r="E99">
        <v>213390.54408775899</v>
      </c>
      <c r="F99">
        <v>365626.24645752198</v>
      </c>
      <c r="G99">
        <v>4368354.6386575801</v>
      </c>
      <c r="H99">
        <v>4424258.3435865697</v>
      </c>
      <c r="I99">
        <v>1684189.81678279</v>
      </c>
      <c r="J99">
        <v>1705743.1150724201</v>
      </c>
      <c r="K99" s="1">
        <f t="shared" si="0"/>
        <v>0.10000000000000053</v>
      </c>
    </row>
    <row r="100" spans="1:11" x14ac:dyDescent="0.35">
      <c r="A100">
        <v>104</v>
      </c>
      <c r="B100" t="s">
        <v>10</v>
      </c>
      <c r="C100" t="s">
        <v>14</v>
      </c>
      <c r="D100">
        <v>2034</v>
      </c>
      <c r="E100">
        <v>234408.06186210801</v>
      </c>
      <c r="F100">
        <v>425449.18849290197</v>
      </c>
      <c r="G100">
        <v>4846698.4650683999</v>
      </c>
      <c r="H100">
        <v>4933134.0110065099</v>
      </c>
      <c r="I100">
        <v>1698738.2446323</v>
      </c>
      <c r="J100">
        <v>1729033.3761819501</v>
      </c>
      <c r="K100" s="1">
        <f t="shared" si="0"/>
        <v>0.10000000000000009</v>
      </c>
    </row>
    <row r="101" spans="1:11" x14ac:dyDescent="0.35">
      <c r="A101">
        <v>104</v>
      </c>
      <c r="B101" t="s">
        <v>10</v>
      </c>
      <c r="C101" t="s">
        <v>14</v>
      </c>
      <c r="D101">
        <v>2035</v>
      </c>
      <c r="E101">
        <v>255425.58070373899</v>
      </c>
      <c r="F101">
        <v>485272.13052828202</v>
      </c>
      <c r="G101">
        <v>5331329.9607490301</v>
      </c>
      <c r="H101">
        <v>5455121.2225177698</v>
      </c>
      <c r="I101">
        <v>1698726.0248771801</v>
      </c>
      <c r="J101">
        <v>1738169.7358399599</v>
      </c>
      <c r="K101" s="1">
        <f t="shared" si="0"/>
        <v>0.10000000000000031</v>
      </c>
    </row>
    <row r="102" spans="1:11" x14ac:dyDescent="0.35">
      <c r="A102">
        <v>104</v>
      </c>
      <c r="B102" t="s">
        <v>10</v>
      </c>
      <c r="C102" t="s">
        <v>14</v>
      </c>
      <c r="D102">
        <v>2036</v>
      </c>
      <c r="E102">
        <v>275133.775166679</v>
      </c>
      <c r="F102">
        <v>545095.07256366301</v>
      </c>
      <c r="G102">
        <v>5794364.7643758897</v>
      </c>
      <c r="H102">
        <v>5961848.3271289896</v>
      </c>
      <c r="I102">
        <v>1678421.0754410599</v>
      </c>
      <c r="J102">
        <v>1726935.0977620301</v>
      </c>
      <c r="K102" s="1">
        <f t="shared" si="0"/>
        <v>0.10000000000000009</v>
      </c>
    </row>
    <row r="103" spans="1:11" x14ac:dyDescent="0.35">
      <c r="A103">
        <v>104</v>
      </c>
      <c r="B103" t="s">
        <v>10</v>
      </c>
      <c r="C103" t="s">
        <v>14</v>
      </c>
      <c r="D103">
        <v>2037</v>
      </c>
      <c r="E103">
        <v>294841.969690517</v>
      </c>
      <c r="F103">
        <v>604918.01459904294</v>
      </c>
      <c r="G103">
        <v>6262692.6136616999</v>
      </c>
      <c r="H103">
        <v>6480870.1490489803</v>
      </c>
      <c r="I103">
        <v>1649162.7012889599</v>
      </c>
      <c r="J103">
        <v>1706615.6653439</v>
      </c>
      <c r="K103" s="1">
        <f t="shared" si="0"/>
        <v>9.9999999999999867E-2</v>
      </c>
    </row>
    <row r="104" spans="1:11" x14ac:dyDescent="0.35">
      <c r="A104">
        <v>104</v>
      </c>
      <c r="B104" t="s">
        <v>10</v>
      </c>
      <c r="C104" t="s">
        <v>14</v>
      </c>
      <c r="D104">
        <v>2038</v>
      </c>
      <c r="E104">
        <v>314550.16628220002</v>
      </c>
      <c r="F104">
        <v>664740.956634423</v>
      </c>
      <c r="G104">
        <v>6736186.9029715499</v>
      </c>
      <c r="H104">
        <v>7012186.7330750702</v>
      </c>
      <c r="I104">
        <v>1612589.5876360801</v>
      </c>
      <c r="J104">
        <v>1678661.7525901</v>
      </c>
      <c r="K104" s="1">
        <f t="shared" si="0"/>
        <v>9.9999999999999867E-2</v>
      </c>
    </row>
    <row r="105" spans="1:11" x14ac:dyDescent="0.35">
      <c r="A105">
        <v>104</v>
      </c>
      <c r="B105" t="s">
        <v>10</v>
      </c>
      <c r="C105" t="s">
        <v>14</v>
      </c>
      <c r="D105">
        <v>2039</v>
      </c>
      <c r="E105">
        <v>334258.36014179297</v>
      </c>
      <c r="F105">
        <v>724563.89866980398</v>
      </c>
      <c r="G105">
        <v>7214764.9836872797</v>
      </c>
      <c r="H105">
        <v>7555797.97264136</v>
      </c>
      <c r="I105">
        <v>1570143.06832889</v>
      </c>
      <c r="J105">
        <v>1644361.7829908901</v>
      </c>
      <c r="K105" s="1">
        <f t="shared" si="0"/>
        <v>9.9999999999999867E-2</v>
      </c>
    </row>
    <row r="106" spans="1:11" x14ac:dyDescent="0.35">
      <c r="A106">
        <v>104</v>
      </c>
      <c r="B106" t="s">
        <v>10</v>
      </c>
      <c r="C106" t="s">
        <v>14</v>
      </c>
      <c r="D106">
        <v>2040</v>
      </c>
      <c r="E106">
        <v>353966.55679675902</v>
      </c>
      <c r="F106">
        <v>784386.84070518403</v>
      </c>
      <c r="G106">
        <v>7698364.3539396897</v>
      </c>
      <c r="H106">
        <v>8111703.99186185</v>
      </c>
      <c r="I106">
        <v>1523080.3466777999</v>
      </c>
      <c r="J106">
        <v>1604857.3904858101</v>
      </c>
      <c r="K106" s="1">
        <f t="shared" si="0"/>
        <v>0.10000000000000009</v>
      </c>
    </row>
    <row r="107" spans="1:11" x14ac:dyDescent="0.35">
      <c r="A107">
        <v>104</v>
      </c>
      <c r="B107" t="s">
        <v>10</v>
      </c>
      <c r="C107" t="s">
        <v>14</v>
      </c>
      <c r="D107">
        <v>2041</v>
      </c>
      <c r="E107">
        <v>371702.96542560699</v>
      </c>
      <c r="F107">
        <v>844209.78274056502</v>
      </c>
      <c r="G107">
        <v>8143731.5561895901</v>
      </c>
      <c r="H107">
        <v>8634103.04646728</v>
      </c>
      <c r="I107">
        <v>1464721.70304174</v>
      </c>
      <c r="J107">
        <v>1552919.32588906</v>
      </c>
      <c r="K107" s="1">
        <f t="shared" si="0"/>
        <v>9.9999999999999867E-2</v>
      </c>
    </row>
    <row r="108" spans="1:11" x14ac:dyDescent="0.35">
      <c r="A108">
        <v>104</v>
      </c>
      <c r="B108" t="s">
        <v>10</v>
      </c>
      <c r="C108" t="s">
        <v>14</v>
      </c>
      <c r="D108">
        <v>2042</v>
      </c>
      <c r="E108">
        <v>389439.374740851</v>
      </c>
      <c r="F108">
        <v>904032.72477594495</v>
      </c>
      <c r="G108">
        <v>8593399.0829669293</v>
      </c>
      <c r="H108">
        <v>9167566.7587347198</v>
      </c>
      <c r="I108">
        <v>1405089.4184267099</v>
      </c>
      <c r="J108">
        <v>1498970.4214890499</v>
      </c>
      <c r="K108" s="1">
        <f t="shared" si="0"/>
        <v>9.9999999999999867E-2</v>
      </c>
    </row>
    <row r="109" spans="1:11" x14ac:dyDescent="0.35">
      <c r="A109">
        <v>104</v>
      </c>
      <c r="B109" t="s">
        <v>10</v>
      </c>
      <c r="C109" t="s">
        <v>14</v>
      </c>
      <c r="D109">
        <v>2043</v>
      </c>
      <c r="E109">
        <v>407175.78422890702</v>
      </c>
      <c r="F109">
        <v>963855.66681132501</v>
      </c>
      <c r="G109">
        <v>9047337.3731537201</v>
      </c>
      <c r="H109">
        <v>9712095.1170563102</v>
      </c>
      <c r="I109">
        <v>1344829.0511039901</v>
      </c>
      <c r="J109">
        <v>1443641.0539148201</v>
      </c>
      <c r="K109" s="1">
        <f t="shared" si="0"/>
        <v>0.10000000000000031</v>
      </c>
    </row>
    <row r="110" spans="1:11" x14ac:dyDescent="0.35">
      <c r="A110">
        <v>104</v>
      </c>
      <c r="B110" t="s">
        <v>10</v>
      </c>
      <c r="C110" t="s">
        <v>14</v>
      </c>
      <c r="D110">
        <v>2044</v>
      </c>
      <c r="E110">
        <v>424912.19492294401</v>
      </c>
      <c r="F110">
        <v>1023678.6088467099</v>
      </c>
      <c r="G110">
        <v>9505514.9181807097</v>
      </c>
      <c r="H110">
        <v>10267688.146559499</v>
      </c>
      <c r="I110">
        <v>1284485.65788727</v>
      </c>
      <c r="J110">
        <v>1387478.56138645</v>
      </c>
      <c r="K110" s="1">
        <f t="shared" si="0"/>
        <v>0.10000000000000009</v>
      </c>
    </row>
    <row r="111" spans="1:11" x14ac:dyDescent="0.35">
      <c r="A111">
        <v>104</v>
      </c>
      <c r="B111" t="s">
        <v>10</v>
      </c>
      <c r="C111" t="s">
        <v>14</v>
      </c>
      <c r="D111">
        <v>2045</v>
      </c>
      <c r="E111">
        <v>442648.60410706402</v>
      </c>
      <c r="F111">
        <v>1083501.5508820901</v>
      </c>
      <c r="G111">
        <v>9967898.8171206694</v>
      </c>
      <c r="H111">
        <v>10834345.781897999</v>
      </c>
      <c r="I111">
        <v>1224516.23467304</v>
      </c>
      <c r="J111">
        <v>1330955.75561107</v>
      </c>
      <c r="K111" s="1">
        <f t="shared" si="0"/>
        <v>0.10000000000000031</v>
      </c>
    </row>
    <row r="112" spans="1:11" x14ac:dyDescent="0.35">
      <c r="A112">
        <v>104</v>
      </c>
      <c r="B112" t="s">
        <v>10</v>
      </c>
      <c r="C112" t="s">
        <v>14</v>
      </c>
      <c r="D112">
        <v>2046</v>
      </c>
      <c r="E112">
        <v>458311.18554451101</v>
      </c>
      <c r="F112">
        <v>1143324.4929174699</v>
      </c>
      <c r="G112">
        <v>10387453.0714291</v>
      </c>
      <c r="H112">
        <v>11360661.817127099</v>
      </c>
      <c r="I112">
        <v>1160051.6231914</v>
      </c>
      <c r="J112">
        <v>1268737.7830602101</v>
      </c>
      <c r="K112" s="1">
        <f t="shared" si="0"/>
        <v>0.10000000000000009</v>
      </c>
    </row>
    <row r="113" spans="1:11" x14ac:dyDescent="0.35">
      <c r="A113">
        <v>104</v>
      </c>
      <c r="B113" t="s">
        <v>10</v>
      </c>
      <c r="C113" t="s">
        <v>14</v>
      </c>
      <c r="D113">
        <v>2047</v>
      </c>
      <c r="E113">
        <v>473973.76945413201</v>
      </c>
      <c r="F113">
        <v>1203147.43495285</v>
      </c>
      <c r="G113">
        <v>10810550.540727099</v>
      </c>
      <c r="H113">
        <v>11896748.824193399</v>
      </c>
      <c r="I113">
        <v>1097547.6083</v>
      </c>
      <c r="J113">
        <v>1207824.5385698201</v>
      </c>
      <c r="K113" s="1">
        <f t="shared" si="0"/>
        <v>0.10000000000000031</v>
      </c>
    </row>
    <row r="114" spans="1:11" x14ac:dyDescent="0.35">
      <c r="A114">
        <v>104</v>
      </c>
      <c r="B114" t="s">
        <v>10</v>
      </c>
      <c r="C114" t="s">
        <v>14</v>
      </c>
      <c r="D114">
        <v>2048</v>
      </c>
      <c r="E114">
        <v>489636.35169718898</v>
      </c>
      <c r="F114">
        <v>1262970.37698823</v>
      </c>
      <c r="G114">
        <v>11237172.232095299</v>
      </c>
      <c r="H114">
        <v>12442606.7002369</v>
      </c>
      <c r="I114">
        <v>1037146.02784882</v>
      </c>
      <c r="J114">
        <v>1148402.8053229901</v>
      </c>
      <c r="K114" s="1">
        <f t="shared" si="0"/>
        <v>0.10000000000000009</v>
      </c>
    </row>
    <row r="115" spans="1:11" x14ac:dyDescent="0.35">
      <c r="A115">
        <v>104</v>
      </c>
      <c r="B115" t="s">
        <v>10</v>
      </c>
      <c r="C115" t="s">
        <v>14</v>
      </c>
      <c r="D115">
        <v>2049</v>
      </c>
      <c r="E115">
        <v>505298.93382423598</v>
      </c>
      <c r="F115">
        <v>1322793.3190236101</v>
      </c>
      <c r="G115">
        <v>11667295.159727</v>
      </c>
      <c r="H115">
        <v>12998235.4835843</v>
      </c>
      <c r="I115">
        <v>978949.68435766594</v>
      </c>
      <c r="J115">
        <v>1090622.8349981301</v>
      </c>
      <c r="K115" s="1">
        <f t="shared" si="0"/>
        <v>0.10000000000000009</v>
      </c>
    </row>
    <row r="116" spans="1:11" x14ac:dyDescent="0.35">
      <c r="A116">
        <v>104</v>
      </c>
      <c r="B116" t="s">
        <v>10</v>
      </c>
      <c r="C116" t="s">
        <v>14</v>
      </c>
      <c r="D116">
        <v>2050</v>
      </c>
      <c r="E116">
        <v>520961.515706665</v>
      </c>
      <c r="F116">
        <v>1382616.2610589899</v>
      </c>
      <c r="G116">
        <v>12100896.005431499</v>
      </c>
      <c r="H116">
        <v>13563635.1707785</v>
      </c>
      <c r="I116">
        <v>923028.326990203</v>
      </c>
      <c r="J116">
        <v>1034602.68346821</v>
      </c>
      <c r="K116" s="1">
        <f t="shared" si="0"/>
        <v>0.10000000000000009</v>
      </c>
    </row>
    <row r="117" spans="1:11" x14ac:dyDescent="0.35">
      <c r="A117">
        <v>104</v>
      </c>
      <c r="B117" t="s">
        <v>10</v>
      </c>
      <c r="C117" t="s">
        <v>14</v>
      </c>
      <c r="D117">
        <v>2051</v>
      </c>
      <c r="E117" t="s">
        <v>12</v>
      </c>
      <c r="F117" t="s">
        <v>12</v>
      </c>
      <c r="G117">
        <v>12463922.8855944</v>
      </c>
      <c r="H117">
        <v>13970544.2259019</v>
      </c>
      <c r="I117">
        <v>178056041.22277799</v>
      </c>
      <c r="J117">
        <v>199579203.22716999</v>
      </c>
      <c r="K117" s="1">
        <f t="shared" si="0"/>
        <v>-9.0603032986147469E-2</v>
      </c>
    </row>
    <row r="118" spans="1:11" x14ac:dyDescent="0.35">
      <c r="A118">
        <v>105</v>
      </c>
      <c r="B118" t="s">
        <v>15</v>
      </c>
      <c r="C118" t="s">
        <v>15</v>
      </c>
      <c r="D118">
        <v>2023</v>
      </c>
      <c r="E118" s="5">
        <v>1000000</v>
      </c>
      <c r="F118" s="5">
        <v>1000000</v>
      </c>
      <c r="G118">
        <v>15458234.477399999</v>
      </c>
      <c r="H118">
        <v>15458234.477399999</v>
      </c>
      <c r="I118">
        <v>15458234.477399999</v>
      </c>
      <c r="J118">
        <v>15458234.477399999</v>
      </c>
      <c r="K118" s="1" t="e">
        <f t="shared" si="0"/>
        <v>#DIV/0!</v>
      </c>
    </row>
    <row r="119" spans="1:11" x14ac:dyDescent="0.35">
      <c r="A119">
        <v>105</v>
      </c>
      <c r="B119" t="s">
        <v>15</v>
      </c>
      <c r="C119" t="s">
        <v>15</v>
      </c>
      <c r="D119">
        <v>2024</v>
      </c>
      <c r="E119" s="5">
        <v>1000000</v>
      </c>
      <c r="F119" s="5">
        <v>1000000</v>
      </c>
      <c r="G119">
        <v>15425082.6522</v>
      </c>
      <c r="H119">
        <v>15425082.6522</v>
      </c>
      <c r="I119">
        <v>14022802.411090899</v>
      </c>
      <c r="J119">
        <v>14022802.411090899</v>
      </c>
      <c r="K119" s="1">
        <f t="shared" si="0"/>
        <v>0.10000000000000075</v>
      </c>
    </row>
    <row r="120" spans="1:11" x14ac:dyDescent="0.35">
      <c r="A120">
        <v>105</v>
      </c>
      <c r="B120" t="s">
        <v>15</v>
      </c>
      <c r="C120" t="s">
        <v>15</v>
      </c>
      <c r="D120">
        <v>2025</v>
      </c>
      <c r="E120" s="5">
        <v>1000000</v>
      </c>
      <c r="F120" s="5">
        <v>1000000</v>
      </c>
      <c r="G120">
        <v>15391930.827</v>
      </c>
      <c r="H120">
        <v>15391930.827</v>
      </c>
      <c r="I120">
        <v>12720603.989256199</v>
      </c>
      <c r="J120">
        <v>12720603.989256199</v>
      </c>
      <c r="K120" s="1">
        <f t="shared" si="0"/>
        <v>0.10000000000000009</v>
      </c>
    </row>
    <row r="121" spans="1:11" x14ac:dyDescent="0.35">
      <c r="A121">
        <v>105</v>
      </c>
      <c r="B121" t="s">
        <v>15</v>
      </c>
      <c r="C121" t="s">
        <v>15</v>
      </c>
      <c r="D121">
        <v>2026</v>
      </c>
      <c r="E121" s="5">
        <v>1000000</v>
      </c>
      <c r="F121" s="5">
        <v>1000000</v>
      </c>
      <c r="G121">
        <v>15437347.3046</v>
      </c>
      <c r="H121">
        <v>15437347.3046</v>
      </c>
      <c r="I121">
        <v>11598307.516604099</v>
      </c>
      <c r="J121">
        <v>11598307.516604099</v>
      </c>
      <c r="K121" s="1">
        <f t="shared" si="0"/>
        <v>9.9999999999998535E-2</v>
      </c>
    </row>
    <row r="122" spans="1:11" x14ac:dyDescent="0.35">
      <c r="A122">
        <v>105</v>
      </c>
      <c r="B122" t="s">
        <v>15</v>
      </c>
      <c r="C122" t="s">
        <v>15</v>
      </c>
      <c r="D122">
        <v>2027</v>
      </c>
      <c r="E122" s="5">
        <v>1000000</v>
      </c>
      <c r="F122" s="5">
        <v>1000000</v>
      </c>
      <c r="G122">
        <v>15482763.782199999</v>
      </c>
      <c r="H122">
        <v>15482763.782199999</v>
      </c>
      <c r="I122">
        <v>10574935.9894816</v>
      </c>
      <c r="J122">
        <v>10574935.9894816</v>
      </c>
      <c r="K122" s="1">
        <f t="shared" si="0"/>
        <v>9.9999999999999867E-2</v>
      </c>
    </row>
    <row r="123" spans="1:11" x14ac:dyDescent="0.35">
      <c r="A123">
        <v>105</v>
      </c>
      <c r="B123" t="s">
        <v>15</v>
      </c>
      <c r="C123" t="s">
        <v>15</v>
      </c>
      <c r="D123">
        <v>2028</v>
      </c>
      <c r="E123" s="5">
        <v>1000000</v>
      </c>
      <c r="F123" s="5">
        <v>1000000</v>
      </c>
      <c r="G123">
        <v>15528180.262399999</v>
      </c>
      <c r="H123">
        <v>15528180.262399999</v>
      </c>
      <c r="I123">
        <v>9641778.2332304604</v>
      </c>
      <c r="J123">
        <v>9641778.2332304604</v>
      </c>
      <c r="K123" s="1">
        <f t="shared" si="0"/>
        <v>0.10000000000000009</v>
      </c>
    </row>
    <row r="124" spans="1:11" x14ac:dyDescent="0.35">
      <c r="A124">
        <v>105</v>
      </c>
      <c r="B124" t="s">
        <v>15</v>
      </c>
      <c r="C124" t="s">
        <v>15</v>
      </c>
      <c r="D124">
        <v>2029</v>
      </c>
      <c r="E124" s="5">
        <v>1000000</v>
      </c>
      <c r="F124" s="5">
        <v>1000000</v>
      </c>
      <c r="G124">
        <v>15573596.74</v>
      </c>
      <c r="H124">
        <v>15573596.74</v>
      </c>
      <c r="I124">
        <v>8790889.3569004908</v>
      </c>
      <c r="J124">
        <v>8790889.3569004908</v>
      </c>
      <c r="K124" s="1">
        <f t="shared" si="0"/>
        <v>0.10000000000000009</v>
      </c>
    </row>
    <row r="125" spans="1:11" x14ac:dyDescent="0.35">
      <c r="A125">
        <v>105</v>
      </c>
      <c r="B125" t="s">
        <v>15</v>
      </c>
      <c r="C125" t="s">
        <v>15</v>
      </c>
      <c r="D125">
        <v>2030</v>
      </c>
      <c r="E125">
        <v>1005086.70028009</v>
      </c>
      <c r="F125">
        <v>951855.77383354201</v>
      </c>
      <c r="G125">
        <v>15698462.456508599</v>
      </c>
      <c r="H125">
        <v>14867047.912754999</v>
      </c>
      <c r="I125">
        <v>8055793.4532973701</v>
      </c>
      <c r="J125">
        <v>7629146.3305550897</v>
      </c>
      <c r="K125" s="1">
        <f t="shared" si="0"/>
        <v>9.9999999999999645E-2</v>
      </c>
    </row>
    <row r="126" spans="1:11" x14ac:dyDescent="0.35">
      <c r="A126">
        <v>105</v>
      </c>
      <c r="B126" t="s">
        <v>15</v>
      </c>
      <c r="C126" t="s">
        <v>15</v>
      </c>
      <c r="D126">
        <v>2031</v>
      </c>
      <c r="E126">
        <v>1007631.10157242</v>
      </c>
      <c r="F126">
        <v>903711.54766708403</v>
      </c>
      <c r="G126">
        <v>15817334.988172799</v>
      </c>
      <c r="H126">
        <v>14319293.6249106</v>
      </c>
      <c r="I126">
        <v>7378903.5072322302</v>
      </c>
      <c r="J126">
        <v>6680056.1554110004</v>
      </c>
      <c r="K126" s="1">
        <f t="shared" si="0"/>
        <v>0.10000000000000031</v>
      </c>
    </row>
    <row r="127" spans="1:11" x14ac:dyDescent="0.35">
      <c r="A127">
        <v>105</v>
      </c>
      <c r="B127" t="s">
        <v>15</v>
      </c>
      <c r="C127" t="s">
        <v>15</v>
      </c>
      <c r="D127">
        <v>2032</v>
      </c>
      <c r="E127">
        <v>1010175.50286475</v>
      </c>
      <c r="F127">
        <v>855567.321500625</v>
      </c>
      <c r="G127">
        <v>15936607.1547349</v>
      </c>
      <c r="H127">
        <v>13749781.108097</v>
      </c>
      <c r="I127">
        <v>6758677.1392609496</v>
      </c>
      <c r="J127">
        <v>5831249.4210869297</v>
      </c>
      <c r="K127" s="1">
        <f t="shared" si="0"/>
        <v>0.10000000000000053</v>
      </c>
    </row>
    <row r="128" spans="1:11" x14ac:dyDescent="0.35">
      <c r="A128">
        <v>105</v>
      </c>
      <c r="B128" t="s">
        <v>15</v>
      </c>
      <c r="C128" t="s">
        <v>15</v>
      </c>
      <c r="D128">
        <v>2033</v>
      </c>
      <c r="E128">
        <v>1012719.90492687</v>
      </c>
      <c r="F128">
        <v>807423.09533416701</v>
      </c>
      <c r="G128">
        <v>16056278.9683997</v>
      </c>
      <c r="H128">
        <v>13158510.362314099</v>
      </c>
      <c r="I128">
        <v>6190390.6094750101</v>
      </c>
      <c r="J128">
        <v>5073175.3690791698</v>
      </c>
      <c r="K128" s="1">
        <f t="shared" si="0"/>
        <v>0.10000000000000031</v>
      </c>
    </row>
    <row r="129" spans="1:11" x14ac:dyDescent="0.35">
      <c r="A129">
        <v>105</v>
      </c>
      <c r="B129" t="s">
        <v>15</v>
      </c>
      <c r="C129" t="s">
        <v>15</v>
      </c>
      <c r="D129">
        <v>2034</v>
      </c>
      <c r="E129">
        <v>1015264.30621921</v>
      </c>
      <c r="F129">
        <v>759278.86916770902</v>
      </c>
      <c r="G129">
        <v>16176350.404818101</v>
      </c>
      <c r="H129">
        <v>12545481.387561999</v>
      </c>
      <c r="I129">
        <v>5669712.1327621099</v>
      </c>
      <c r="J129">
        <v>4397114.6923978198</v>
      </c>
      <c r="K129" s="1">
        <f t="shared" si="0"/>
        <v>9.9999999999999867E-2</v>
      </c>
    </row>
    <row r="130" spans="1:11" x14ac:dyDescent="0.35">
      <c r="A130">
        <v>105</v>
      </c>
      <c r="B130" t="s">
        <v>15</v>
      </c>
      <c r="C130" t="s">
        <v>15</v>
      </c>
      <c r="D130">
        <v>2035</v>
      </c>
      <c r="E130">
        <v>1017808.70751154</v>
      </c>
      <c r="F130">
        <v>711134.64300125104</v>
      </c>
      <c r="G130">
        <v>16296821.4761346</v>
      </c>
      <c r="H130">
        <v>11910694.1838405</v>
      </c>
      <c r="I130">
        <v>5192669.5530204596</v>
      </c>
      <c r="J130">
        <v>3795114.2272950802</v>
      </c>
      <c r="K130" s="1">
        <f t="shared" si="0"/>
        <v>0.10000000000000031</v>
      </c>
    </row>
    <row r="131" spans="1:11" x14ac:dyDescent="0.35">
      <c r="A131">
        <v>105</v>
      </c>
      <c r="B131" t="s">
        <v>15</v>
      </c>
      <c r="C131" t="s">
        <v>15</v>
      </c>
      <c r="D131">
        <v>2036</v>
      </c>
      <c r="E131">
        <v>1020093.07043231</v>
      </c>
      <c r="F131">
        <v>662990.41683479305</v>
      </c>
      <c r="G131">
        <v>16366802.8433934</v>
      </c>
      <c r="H131">
        <v>11254148.751149699</v>
      </c>
      <c r="I131">
        <v>4740879.7939042002</v>
      </c>
      <c r="J131">
        <v>3259926.0174662</v>
      </c>
      <c r="K131" s="1">
        <f t="shared" si="0"/>
        <v>0.10000000000000031</v>
      </c>
    </row>
    <row r="132" spans="1:11" x14ac:dyDescent="0.35">
      <c r="A132">
        <v>105</v>
      </c>
      <c r="B132" t="s">
        <v>15</v>
      </c>
      <c r="C132" t="s">
        <v>15</v>
      </c>
      <c r="D132">
        <v>2037</v>
      </c>
      <c r="E132">
        <v>1022377.4333530799</v>
      </c>
      <c r="F132">
        <v>614846.19066833495</v>
      </c>
      <c r="G132">
        <v>16436933.8222897</v>
      </c>
      <c r="H132">
        <v>10575845.0894897</v>
      </c>
      <c r="I132">
        <v>4328358.4003695697</v>
      </c>
      <c r="J132">
        <v>2784950.5527621098</v>
      </c>
      <c r="K132" s="1">
        <f t="shared" ref="K132:K195" si="1">(G132/I132)^(1/(D132-$D$2))-1</f>
        <v>0.10000000000000009</v>
      </c>
    </row>
    <row r="133" spans="1:11" x14ac:dyDescent="0.35">
      <c r="A133">
        <v>105</v>
      </c>
      <c r="B133" t="s">
        <v>15</v>
      </c>
      <c r="C133" t="s">
        <v>15</v>
      </c>
      <c r="D133">
        <v>2038</v>
      </c>
      <c r="E133">
        <v>1024661.79627385</v>
      </c>
      <c r="F133">
        <v>566701.96450187697</v>
      </c>
      <c r="G133">
        <v>16507214.4128235</v>
      </c>
      <c r="H133">
        <v>9875783.1988603491</v>
      </c>
      <c r="I133">
        <v>3951695.8876620098</v>
      </c>
      <c r="J133">
        <v>2364183.9791007298</v>
      </c>
      <c r="K133" s="1">
        <f t="shared" si="1"/>
        <v>0.10000000000000009</v>
      </c>
    </row>
    <row r="134" spans="1:11" x14ac:dyDescent="0.35">
      <c r="A134">
        <v>105</v>
      </c>
      <c r="B134" t="s">
        <v>15</v>
      </c>
      <c r="C134" t="s">
        <v>15</v>
      </c>
      <c r="D134">
        <v>2039</v>
      </c>
      <c r="E134">
        <v>1026946.15919462</v>
      </c>
      <c r="F134">
        <v>518557.73833541799</v>
      </c>
      <c r="G134">
        <v>16577644.6149948</v>
      </c>
      <c r="H134">
        <v>9153963.0792617295</v>
      </c>
      <c r="I134">
        <v>3607778.4709975398</v>
      </c>
      <c r="J134">
        <v>1992169.0739946601</v>
      </c>
      <c r="K134" s="1">
        <f t="shared" si="1"/>
        <v>9.9999999999999867E-2</v>
      </c>
    </row>
    <row r="135" spans="1:11" x14ac:dyDescent="0.35">
      <c r="A135">
        <v>105</v>
      </c>
      <c r="B135" t="s">
        <v>15</v>
      </c>
      <c r="C135" t="s">
        <v>15</v>
      </c>
      <c r="D135">
        <v>2040</v>
      </c>
      <c r="E135">
        <v>1029230.52211539</v>
      </c>
      <c r="F135">
        <v>470413.51216896001</v>
      </c>
      <c r="G135">
        <v>16648224.428803699</v>
      </c>
      <c r="H135">
        <v>8410384.7306938209</v>
      </c>
      <c r="I135">
        <v>3293762.4498918001</v>
      </c>
      <c r="J135">
        <v>1663949.78236687</v>
      </c>
      <c r="K135" s="1">
        <f t="shared" si="1"/>
        <v>0.10000000000000031</v>
      </c>
    </row>
    <row r="136" spans="1:11" x14ac:dyDescent="0.35">
      <c r="A136">
        <v>105</v>
      </c>
      <c r="B136" t="s">
        <v>15</v>
      </c>
      <c r="C136" t="s">
        <v>15</v>
      </c>
      <c r="D136">
        <v>2041</v>
      </c>
      <c r="E136">
        <v>1029962.3026998501</v>
      </c>
      <c r="F136">
        <v>422269.28600250202</v>
      </c>
      <c r="G136">
        <v>16697935.3581797</v>
      </c>
      <c r="H136">
        <v>7645048.1531566298</v>
      </c>
      <c r="I136">
        <v>3003270.4475044701</v>
      </c>
      <c r="J136">
        <v>1375029.1096244201</v>
      </c>
      <c r="K136" s="1">
        <f t="shared" si="1"/>
        <v>0.10000000000000009</v>
      </c>
    </row>
    <row r="137" spans="1:11" x14ac:dyDescent="0.35">
      <c r="A137">
        <v>105</v>
      </c>
      <c r="B137" t="s">
        <v>15</v>
      </c>
      <c r="C137" t="s">
        <v>15</v>
      </c>
      <c r="D137">
        <v>2042</v>
      </c>
      <c r="E137">
        <v>1030694.08405411</v>
      </c>
      <c r="F137">
        <v>374125.05983604398</v>
      </c>
      <c r="G137">
        <v>16747700.118569501</v>
      </c>
      <c r="H137">
        <v>6857953.3466501497</v>
      </c>
      <c r="I137">
        <v>2738382.7973529999</v>
      </c>
      <c r="J137">
        <v>1121330.1728930301</v>
      </c>
      <c r="K137" s="1">
        <f t="shared" si="1"/>
        <v>0.10000000000000009</v>
      </c>
    </row>
    <row r="138" spans="1:11" x14ac:dyDescent="0.35">
      <c r="A138">
        <v>105</v>
      </c>
      <c r="B138" t="s">
        <v>15</v>
      </c>
      <c r="C138" t="s">
        <v>15</v>
      </c>
      <c r="D138">
        <v>2043</v>
      </c>
      <c r="E138">
        <v>1031425.86463857</v>
      </c>
      <c r="F138">
        <v>325980.83366958599</v>
      </c>
      <c r="G138">
        <v>16797518.684984598</v>
      </c>
      <c r="H138">
        <v>6049100.3111743797</v>
      </c>
      <c r="I138">
        <v>2496844.1191394599</v>
      </c>
      <c r="J138">
        <v>899160.21653493401</v>
      </c>
      <c r="K138" s="1">
        <f t="shared" si="1"/>
        <v>9.9999999999999867E-2</v>
      </c>
    </row>
    <row r="139" spans="1:11" x14ac:dyDescent="0.35">
      <c r="A139">
        <v>105</v>
      </c>
      <c r="B139" t="s">
        <v>15</v>
      </c>
      <c r="C139" t="s">
        <v>15</v>
      </c>
      <c r="D139">
        <v>2044</v>
      </c>
      <c r="E139">
        <v>1032157.64599283</v>
      </c>
      <c r="F139">
        <v>277836.60750312801</v>
      </c>
      <c r="G139">
        <v>16847391.079786502</v>
      </c>
      <c r="H139">
        <v>5218489.0467293197</v>
      </c>
      <c r="I139">
        <v>2276597.5753100598</v>
      </c>
      <c r="J139">
        <v>705177.404281909</v>
      </c>
      <c r="K139" s="1">
        <f t="shared" si="1"/>
        <v>9.9999999999999867E-2</v>
      </c>
    </row>
    <row r="140" spans="1:11" x14ac:dyDescent="0.35">
      <c r="A140">
        <v>105</v>
      </c>
      <c r="B140" t="s">
        <v>15</v>
      </c>
      <c r="C140" t="s">
        <v>15</v>
      </c>
      <c r="D140">
        <v>2045</v>
      </c>
      <c r="E140">
        <v>1032889.4265772999</v>
      </c>
      <c r="F140">
        <v>229692.381336669</v>
      </c>
      <c r="G140">
        <v>16897317.283238899</v>
      </c>
      <c r="H140">
        <v>4366119.5533149699</v>
      </c>
      <c r="I140">
        <v>2075767.39244272</v>
      </c>
      <c r="J140">
        <v>536360.20726602501</v>
      </c>
      <c r="K140" s="1">
        <f t="shared" si="1"/>
        <v>0.10000000000000009</v>
      </c>
    </row>
    <row r="141" spans="1:11" x14ac:dyDescent="0.35">
      <c r="A141">
        <v>105</v>
      </c>
      <c r="B141" t="s">
        <v>15</v>
      </c>
      <c r="C141" t="s">
        <v>15</v>
      </c>
      <c r="D141">
        <v>2046</v>
      </c>
      <c r="E141">
        <v>1032100.61742091</v>
      </c>
      <c r="F141">
        <v>181548.15517021099</v>
      </c>
      <c r="G141">
        <v>16903673.325726401</v>
      </c>
      <c r="H141">
        <v>3491991.8309313399</v>
      </c>
      <c r="I141">
        <v>1887771.09697288</v>
      </c>
      <c r="J141">
        <v>389979.21471097402</v>
      </c>
      <c r="K141" s="1">
        <f t="shared" si="1"/>
        <v>0.10000000000000031</v>
      </c>
    </row>
    <row r="142" spans="1:11" x14ac:dyDescent="0.35">
      <c r="A142">
        <v>105</v>
      </c>
      <c r="B142" t="s">
        <v>15</v>
      </c>
      <c r="C142" t="s">
        <v>15</v>
      </c>
      <c r="D142">
        <v>2047</v>
      </c>
      <c r="E142">
        <v>1031311.80826453</v>
      </c>
      <c r="F142">
        <v>133403.929003753</v>
      </c>
      <c r="G142">
        <v>16909999.925054401</v>
      </c>
      <c r="H142">
        <v>2596105.87957842</v>
      </c>
      <c r="I142">
        <v>1716797.8544826701</v>
      </c>
      <c r="J142">
        <v>263571.20188193902</v>
      </c>
      <c r="K142" s="1">
        <f t="shared" si="1"/>
        <v>0.10000000000000009</v>
      </c>
    </row>
    <row r="143" spans="1:11" x14ac:dyDescent="0.35">
      <c r="A143">
        <v>105</v>
      </c>
      <c r="B143" t="s">
        <v>15</v>
      </c>
      <c r="C143" t="s">
        <v>15</v>
      </c>
      <c r="D143">
        <v>2048</v>
      </c>
      <c r="E143">
        <v>1030522.99987793</v>
      </c>
      <c r="F143">
        <v>85259.702837294899</v>
      </c>
      <c r="G143">
        <v>16916297.099224199</v>
      </c>
      <c r="H143">
        <v>1678461.6992562099</v>
      </c>
      <c r="I143">
        <v>1561306.5262326701</v>
      </c>
      <c r="J143">
        <v>154915.297934823</v>
      </c>
      <c r="K143" s="1">
        <f t="shared" si="1"/>
        <v>0.10000000000000009</v>
      </c>
    </row>
    <row r="144" spans="1:11" x14ac:dyDescent="0.35">
      <c r="A144">
        <v>105</v>
      </c>
      <c r="B144" t="s">
        <v>15</v>
      </c>
      <c r="C144" t="s">
        <v>15</v>
      </c>
      <c r="D144">
        <v>2049</v>
      </c>
      <c r="E144">
        <v>1029734.19072155</v>
      </c>
      <c r="F144">
        <v>37115.476670836797</v>
      </c>
      <c r="G144">
        <v>16922564.817616701</v>
      </c>
      <c r="H144">
        <v>739059.28996472096</v>
      </c>
      <c r="I144">
        <v>1419895.4650527299</v>
      </c>
      <c r="J144">
        <v>62011.104435751004</v>
      </c>
      <c r="K144" s="1">
        <f t="shared" si="1"/>
        <v>9.9999999999999867E-2</v>
      </c>
    </row>
    <row r="145" spans="1:11" x14ac:dyDescent="0.35">
      <c r="A145">
        <v>105</v>
      </c>
      <c r="B145" t="s">
        <v>15</v>
      </c>
      <c r="C145" t="s">
        <v>15</v>
      </c>
      <c r="D145">
        <v>2050</v>
      </c>
      <c r="E145">
        <v>1028945.38156516</v>
      </c>
      <c r="F145">
        <v>0</v>
      </c>
      <c r="G145">
        <v>16928803.098210499</v>
      </c>
      <c r="H145">
        <v>0</v>
      </c>
      <c r="I145">
        <v>1291289.90073745</v>
      </c>
      <c r="J145">
        <v>0</v>
      </c>
      <c r="K145" s="1">
        <f t="shared" si="1"/>
        <v>0.10000000000000009</v>
      </c>
    </row>
    <row r="146" spans="1:11" x14ac:dyDescent="0.35">
      <c r="A146">
        <v>105</v>
      </c>
      <c r="B146" t="s">
        <v>15</v>
      </c>
      <c r="C146" t="s">
        <v>15</v>
      </c>
      <c r="D146">
        <v>2051</v>
      </c>
      <c r="E146" t="s">
        <v>12</v>
      </c>
      <c r="F146" t="s">
        <v>12</v>
      </c>
      <c r="G146">
        <v>17436667.191156801</v>
      </c>
      <c r="H146">
        <v>0</v>
      </c>
      <c r="I146">
        <v>249095245.587955</v>
      </c>
      <c r="J146">
        <v>0</v>
      </c>
      <c r="K146" s="1">
        <f t="shared" si="1"/>
        <v>-9.0603032986147358E-2</v>
      </c>
    </row>
    <row r="147" spans="1:11" x14ac:dyDescent="0.35">
      <c r="A147">
        <v>106</v>
      </c>
      <c r="B147" t="s">
        <v>10</v>
      </c>
      <c r="C147" t="s">
        <v>11</v>
      </c>
      <c r="D147">
        <v>2023</v>
      </c>
      <c r="E147">
        <v>243302.85252633601</v>
      </c>
      <c r="F147">
        <v>243302.85252633601</v>
      </c>
      <c r="G147">
        <v>328449.22035106301</v>
      </c>
      <c r="H147">
        <v>328449.22035106301</v>
      </c>
      <c r="I147">
        <v>328449.22035106301</v>
      </c>
      <c r="J147">
        <v>328449.22035106301</v>
      </c>
      <c r="K147" s="1" t="e">
        <f t="shared" si="1"/>
        <v>#DIV/0!</v>
      </c>
    </row>
    <row r="148" spans="1:11" x14ac:dyDescent="0.35">
      <c r="A148">
        <v>106</v>
      </c>
      <c r="B148" t="s">
        <v>10</v>
      </c>
      <c r="C148" t="s">
        <v>11</v>
      </c>
      <c r="D148">
        <v>2024</v>
      </c>
      <c r="E148">
        <v>244402.65074800799</v>
      </c>
      <c r="F148">
        <v>244402.65074800799</v>
      </c>
      <c r="G148">
        <v>330201.64576164301</v>
      </c>
      <c r="H148">
        <v>330201.64576164301</v>
      </c>
      <c r="I148">
        <v>300183.31432876602</v>
      </c>
      <c r="J148">
        <v>300183.31432876602</v>
      </c>
      <c r="K148" s="1">
        <f t="shared" si="1"/>
        <v>0.1000000000000012</v>
      </c>
    </row>
    <row r="149" spans="1:11" x14ac:dyDescent="0.35">
      <c r="A149">
        <v>106</v>
      </c>
      <c r="B149" t="s">
        <v>10</v>
      </c>
      <c r="C149" t="s">
        <v>11</v>
      </c>
      <c r="D149">
        <v>2025</v>
      </c>
      <c r="E149">
        <v>245505.618747648</v>
      </c>
      <c r="F149">
        <v>245505.618747648</v>
      </c>
      <c r="G149">
        <v>331941.193898561</v>
      </c>
      <c r="H149">
        <v>331941.193898561</v>
      </c>
      <c r="I149">
        <v>274331.565205422</v>
      </c>
      <c r="J149">
        <v>274331.565205422</v>
      </c>
      <c r="K149" s="1">
        <f t="shared" si="1"/>
        <v>0.10000000000000075</v>
      </c>
    </row>
    <row r="150" spans="1:11" x14ac:dyDescent="0.35">
      <c r="A150">
        <v>106</v>
      </c>
      <c r="B150" t="s">
        <v>10</v>
      </c>
      <c r="C150" t="s">
        <v>11</v>
      </c>
      <c r="D150">
        <v>2026</v>
      </c>
      <c r="E150">
        <v>246390.94218384</v>
      </c>
      <c r="F150">
        <v>246390.94218384</v>
      </c>
      <c r="G150">
        <v>333370.263365058</v>
      </c>
      <c r="H150">
        <v>333370.263365058</v>
      </c>
      <c r="I150">
        <v>250466.01304662501</v>
      </c>
      <c r="J150">
        <v>250466.01304662501</v>
      </c>
      <c r="K150" s="1">
        <f t="shared" si="1"/>
        <v>0.10000000000000009</v>
      </c>
    </row>
    <row r="151" spans="1:11" x14ac:dyDescent="0.35">
      <c r="A151">
        <v>106</v>
      </c>
      <c r="B151" t="s">
        <v>10</v>
      </c>
      <c r="C151" t="s">
        <v>11</v>
      </c>
      <c r="D151">
        <v>2027</v>
      </c>
      <c r="E151">
        <v>247284.00029707199</v>
      </c>
      <c r="F151">
        <v>247284.00029707199</v>
      </c>
      <c r="G151">
        <v>334794.50028196099</v>
      </c>
      <c r="H151">
        <v>334794.50028196099</v>
      </c>
      <c r="I151">
        <v>228669.14847480401</v>
      </c>
      <c r="J151">
        <v>228669.14847480401</v>
      </c>
      <c r="K151" s="1">
        <f t="shared" si="1"/>
        <v>0.10000000000000031</v>
      </c>
    </row>
    <row r="152" spans="1:11" x14ac:dyDescent="0.35">
      <c r="A152">
        <v>106</v>
      </c>
      <c r="B152" t="s">
        <v>10</v>
      </c>
      <c r="C152" t="s">
        <v>11</v>
      </c>
      <c r="D152">
        <v>2028</v>
      </c>
      <c r="E152">
        <v>248184.89473312799</v>
      </c>
      <c r="F152">
        <v>248184.89473312799</v>
      </c>
      <c r="G152">
        <v>336215.110314077</v>
      </c>
      <c r="H152">
        <v>336215.110314077</v>
      </c>
      <c r="I152">
        <v>208763.13112869699</v>
      </c>
      <c r="J152">
        <v>208763.13112869699</v>
      </c>
      <c r="K152" s="1">
        <f t="shared" si="1"/>
        <v>9.9999999999999423E-2</v>
      </c>
    </row>
    <row r="153" spans="1:11" x14ac:dyDescent="0.35">
      <c r="A153">
        <v>106</v>
      </c>
      <c r="B153" t="s">
        <v>10</v>
      </c>
      <c r="C153" t="s">
        <v>11</v>
      </c>
      <c r="D153">
        <v>2029</v>
      </c>
      <c r="E153">
        <v>249093.728446536</v>
      </c>
      <c r="F153">
        <v>249093.728446536</v>
      </c>
      <c r="G153">
        <v>337633.22787487</v>
      </c>
      <c r="H153">
        <v>337633.22787487</v>
      </c>
      <c r="I153">
        <v>190585.15505527001</v>
      </c>
      <c r="J153">
        <v>190585.15505527001</v>
      </c>
      <c r="K153" s="1">
        <f t="shared" si="1"/>
        <v>0.10000000000000053</v>
      </c>
    </row>
    <row r="154" spans="1:11" x14ac:dyDescent="0.35">
      <c r="A154">
        <v>106</v>
      </c>
      <c r="B154" t="s">
        <v>10</v>
      </c>
      <c r="C154" t="s">
        <v>11</v>
      </c>
      <c r="D154">
        <v>2030</v>
      </c>
      <c r="E154">
        <v>248912.62947385601</v>
      </c>
      <c r="F154">
        <v>233343.00010440999</v>
      </c>
      <c r="G154">
        <v>337560.90959204402</v>
      </c>
      <c r="H154">
        <v>316446.27887575299</v>
      </c>
      <c r="I154">
        <v>173222.12115449901</v>
      </c>
      <c r="J154">
        <v>162386.97698899099</v>
      </c>
      <c r="K154" s="1">
        <f t="shared" si="1"/>
        <v>0.10000000000000009</v>
      </c>
    </row>
    <row r="155" spans="1:11" x14ac:dyDescent="0.35">
      <c r="A155">
        <v>106</v>
      </c>
      <c r="B155" t="s">
        <v>10</v>
      </c>
      <c r="C155" t="s">
        <v>11</v>
      </c>
      <c r="D155">
        <v>2031</v>
      </c>
      <c r="E155">
        <v>248657.64126292701</v>
      </c>
      <c r="F155">
        <v>217592.271762283</v>
      </c>
      <c r="G155">
        <v>337375.44929761399</v>
      </c>
      <c r="H155">
        <v>295160.93834043801</v>
      </c>
      <c r="I155">
        <v>157388.136998912</v>
      </c>
      <c r="J155">
        <v>137694.75608544401</v>
      </c>
      <c r="K155" s="1">
        <f t="shared" si="1"/>
        <v>9.9999999999999645E-2</v>
      </c>
    </row>
    <row r="156" spans="1:11" x14ac:dyDescent="0.35">
      <c r="A156">
        <v>106</v>
      </c>
      <c r="B156" t="s">
        <v>10</v>
      </c>
      <c r="C156" t="s">
        <v>11</v>
      </c>
      <c r="D156">
        <v>2032</v>
      </c>
      <c r="E156">
        <v>248402.653411078</v>
      </c>
      <c r="F156">
        <v>201841.54342015699</v>
      </c>
      <c r="G156">
        <v>337177.95581410301</v>
      </c>
      <c r="H156">
        <v>273864.75632521702</v>
      </c>
      <c r="I156">
        <v>142996.368028464</v>
      </c>
      <c r="J156">
        <v>116145.390913685</v>
      </c>
      <c r="K156" s="1">
        <f t="shared" si="1"/>
        <v>0.10000000000000009</v>
      </c>
    </row>
    <row r="157" spans="1:11" x14ac:dyDescent="0.35">
      <c r="A157">
        <v>106</v>
      </c>
      <c r="B157" t="s">
        <v>10</v>
      </c>
      <c r="C157" t="s">
        <v>11</v>
      </c>
      <c r="D157">
        <v>2033</v>
      </c>
      <c r="E157">
        <v>248147.66554644299</v>
      </c>
      <c r="F157">
        <v>186090.81507802999</v>
      </c>
      <c r="G157">
        <v>336969.31443943898</v>
      </c>
      <c r="H157">
        <v>252557.73283009199</v>
      </c>
      <c r="I157">
        <v>129916.257925795</v>
      </c>
      <c r="J157">
        <v>97371.939086178594</v>
      </c>
      <c r="K157" s="1">
        <f t="shared" si="1"/>
        <v>0.10000000000000053</v>
      </c>
    </row>
    <row r="158" spans="1:11" x14ac:dyDescent="0.35">
      <c r="A158">
        <v>106</v>
      </c>
      <c r="B158" t="s">
        <v>10</v>
      </c>
      <c r="C158" t="s">
        <v>11</v>
      </c>
      <c r="D158">
        <v>2034</v>
      </c>
      <c r="E158">
        <v>247892.678059119</v>
      </c>
      <c r="F158">
        <v>170340.08673590401</v>
      </c>
      <c r="G158">
        <v>336750.34713062103</v>
      </c>
      <c r="H158">
        <v>231239.867855063</v>
      </c>
      <c r="I158">
        <v>118028.94231752399</v>
      </c>
      <c r="J158">
        <v>81048.163000082801</v>
      </c>
      <c r="K158" s="1">
        <f t="shared" si="1"/>
        <v>9.9999999999999867E-2</v>
      </c>
    </row>
    <row r="159" spans="1:11" x14ac:dyDescent="0.35">
      <c r="A159">
        <v>106</v>
      </c>
      <c r="B159" t="s">
        <v>10</v>
      </c>
      <c r="C159" t="s">
        <v>11</v>
      </c>
      <c r="D159">
        <v>2035</v>
      </c>
      <c r="E159">
        <v>247637.689942408</v>
      </c>
      <c r="F159">
        <v>154589.35839377699</v>
      </c>
      <c r="G159">
        <v>336521.81379788998</v>
      </c>
      <c r="H159">
        <v>209911.161400129</v>
      </c>
      <c r="I159">
        <v>107226.220707794</v>
      </c>
      <c r="J159">
        <v>66884.1650034536</v>
      </c>
      <c r="K159" s="1">
        <f t="shared" si="1"/>
        <v>0.10000000000000009</v>
      </c>
    </row>
    <row r="160" spans="1:11" x14ac:dyDescent="0.35">
      <c r="A160">
        <v>106</v>
      </c>
      <c r="B160" t="s">
        <v>10</v>
      </c>
      <c r="C160" t="s">
        <v>11</v>
      </c>
      <c r="D160">
        <v>2036</v>
      </c>
      <c r="E160">
        <v>246491.858019084</v>
      </c>
      <c r="F160">
        <v>138838.63005165101</v>
      </c>
      <c r="G160">
        <v>335073.435552957</v>
      </c>
      <c r="H160">
        <v>188571.61346528999</v>
      </c>
      <c r="I160">
        <v>97058.838875688394</v>
      </c>
      <c r="J160">
        <v>54622.479450369603</v>
      </c>
      <c r="K160" s="1">
        <f t="shared" si="1"/>
        <v>0.10000000000000009</v>
      </c>
    </row>
    <row r="161" spans="1:11" x14ac:dyDescent="0.35">
      <c r="A161">
        <v>106</v>
      </c>
      <c r="B161" t="s">
        <v>10</v>
      </c>
      <c r="C161" t="s">
        <v>11</v>
      </c>
      <c r="D161">
        <v>2037</v>
      </c>
      <c r="E161">
        <v>245346.02607498399</v>
      </c>
      <c r="F161">
        <v>123087.901709524</v>
      </c>
      <c r="G161">
        <v>333616.12373726902</v>
      </c>
      <c r="H161">
        <v>167221.224050547</v>
      </c>
      <c r="I161">
        <v>87851.552320467206</v>
      </c>
      <c r="J161">
        <v>44034.5746758284</v>
      </c>
      <c r="K161" s="1">
        <f t="shared" si="1"/>
        <v>0.10000000000000031</v>
      </c>
    </row>
    <row r="162" spans="1:11" x14ac:dyDescent="0.35">
      <c r="A162">
        <v>106</v>
      </c>
      <c r="B162" t="s">
        <v>10</v>
      </c>
      <c r="C162" t="s">
        <v>11</v>
      </c>
      <c r="D162">
        <v>2038</v>
      </c>
      <c r="E162">
        <v>244200.19425428499</v>
      </c>
      <c r="F162">
        <v>107337.17336739801</v>
      </c>
      <c r="G162">
        <v>332150.56464197399</v>
      </c>
      <c r="H162">
        <v>145859.993155898</v>
      </c>
      <c r="I162">
        <v>79514.204368766994</v>
      </c>
      <c r="J162">
        <v>34917.7226825627</v>
      </c>
      <c r="K162" s="1">
        <f t="shared" si="1"/>
        <v>0.10000000000000009</v>
      </c>
    </row>
    <row r="163" spans="1:11" x14ac:dyDescent="0.35">
      <c r="A163">
        <v>106</v>
      </c>
      <c r="B163" t="s">
        <v>10</v>
      </c>
      <c r="C163" t="s">
        <v>11</v>
      </c>
      <c r="D163">
        <v>2039</v>
      </c>
      <c r="E163">
        <v>243054.362103008</v>
      </c>
      <c r="F163">
        <v>91586.445025271503</v>
      </c>
      <c r="G163">
        <v>330677.391680267</v>
      </c>
      <c r="H163">
        <v>124487.92078134599</v>
      </c>
      <c r="I163">
        <v>71965.034976716895</v>
      </c>
      <c r="J163">
        <v>27092.1986159568</v>
      </c>
      <c r="K163" s="1">
        <f t="shared" si="1"/>
        <v>0.10000000000000009</v>
      </c>
    </row>
    <row r="164" spans="1:11" x14ac:dyDescent="0.35">
      <c r="A164">
        <v>106</v>
      </c>
      <c r="B164" t="s">
        <v>10</v>
      </c>
      <c r="C164" t="s">
        <v>11</v>
      </c>
      <c r="D164">
        <v>2040</v>
      </c>
      <c r="E164">
        <v>241908.52999318199</v>
      </c>
      <c r="F164">
        <v>75835.716683145103</v>
      </c>
      <c r="G164">
        <v>329197.19095822598</v>
      </c>
      <c r="H164">
        <v>103105.00692688899</v>
      </c>
      <c r="I164">
        <v>65129.909247984702</v>
      </c>
      <c r="J164">
        <v>20398.775957396399</v>
      </c>
      <c r="K164" s="1">
        <f t="shared" si="1"/>
        <v>0.10000000000000009</v>
      </c>
    </row>
    <row r="165" spans="1:11" x14ac:dyDescent="0.35">
      <c r="A165">
        <v>106</v>
      </c>
      <c r="B165" t="s">
        <v>10</v>
      </c>
      <c r="C165" t="s">
        <v>11</v>
      </c>
      <c r="D165">
        <v>2041</v>
      </c>
      <c r="E165">
        <v>240708.194850728</v>
      </c>
      <c r="F165">
        <v>60084.988341018601</v>
      </c>
      <c r="G165">
        <v>327636.31740979699</v>
      </c>
      <c r="H165">
        <v>81711.251592526794</v>
      </c>
      <c r="I165">
        <v>58928.271579637098</v>
      </c>
      <c r="J165">
        <v>14696.4868333992</v>
      </c>
      <c r="K165" s="1">
        <f t="shared" si="1"/>
        <v>0.10000000000000009</v>
      </c>
    </row>
    <row r="166" spans="1:11" x14ac:dyDescent="0.35">
      <c r="A166">
        <v>106</v>
      </c>
      <c r="B166" t="s">
        <v>10</v>
      </c>
      <c r="C166" t="s">
        <v>11</v>
      </c>
      <c r="D166">
        <v>2042</v>
      </c>
      <c r="E166">
        <v>239507.85960782299</v>
      </c>
      <c r="F166">
        <v>44334.259998892201</v>
      </c>
      <c r="G166">
        <v>326069.425846809</v>
      </c>
      <c r="H166">
        <v>60306.654778260403</v>
      </c>
      <c r="I166">
        <v>53314.956690181003</v>
      </c>
      <c r="J166">
        <v>9860.6199562641796</v>
      </c>
      <c r="K166" s="1">
        <f t="shared" si="1"/>
        <v>0.10000000000000009</v>
      </c>
    </row>
    <row r="167" spans="1:11" x14ac:dyDescent="0.35">
      <c r="A167">
        <v>106</v>
      </c>
      <c r="B167" t="s">
        <v>10</v>
      </c>
      <c r="C167" t="s">
        <v>11</v>
      </c>
      <c r="D167">
        <v>2043</v>
      </c>
      <c r="E167">
        <v>238307.52404810899</v>
      </c>
      <c r="F167">
        <v>28583.531656765801</v>
      </c>
      <c r="G167">
        <v>324496.980817704</v>
      </c>
      <c r="H167">
        <v>38891.216484089302</v>
      </c>
      <c r="I167">
        <v>48234.4085116243</v>
      </c>
      <c r="J167">
        <v>5780.9315164673999</v>
      </c>
      <c r="K167" s="1">
        <f t="shared" si="1"/>
        <v>0.10000000000000031</v>
      </c>
    </row>
    <row r="168" spans="1:11" x14ac:dyDescent="0.35">
      <c r="A168">
        <v>106</v>
      </c>
      <c r="B168" t="s">
        <v>10</v>
      </c>
      <c r="C168" t="s">
        <v>11</v>
      </c>
      <c r="D168">
        <v>2044</v>
      </c>
      <c r="E168">
        <v>237107.18880488299</v>
      </c>
      <c r="F168">
        <v>12832.803314639301</v>
      </c>
      <c r="G168">
        <v>322919.41223996301</v>
      </c>
      <c r="H168">
        <v>17464.936710013601</v>
      </c>
      <c r="I168">
        <v>43636.284540701803</v>
      </c>
      <c r="J168">
        <v>2360.0468688986098</v>
      </c>
      <c r="K168" s="1">
        <f t="shared" si="1"/>
        <v>0.10000000000000009</v>
      </c>
    </row>
    <row r="169" spans="1:11" x14ac:dyDescent="0.35">
      <c r="A169">
        <v>106</v>
      </c>
      <c r="B169" t="s">
        <v>10</v>
      </c>
      <c r="C169" t="s">
        <v>11</v>
      </c>
      <c r="D169">
        <v>2045</v>
      </c>
      <c r="E169">
        <v>235906.85350965001</v>
      </c>
      <c r="F169">
        <v>0</v>
      </c>
      <c r="G169">
        <v>321337.11580609798</v>
      </c>
      <c r="H169">
        <v>0</v>
      </c>
      <c r="I169">
        <v>39474.970836555898</v>
      </c>
      <c r="J169">
        <v>0</v>
      </c>
      <c r="K169" s="1">
        <f t="shared" si="1"/>
        <v>0.10000000000000009</v>
      </c>
    </row>
    <row r="170" spans="1:11" x14ac:dyDescent="0.35">
      <c r="A170">
        <v>106</v>
      </c>
      <c r="B170" t="s">
        <v>10</v>
      </c>
      <c r="C170" t="s">
        <v>11</v>
      </c>
      <c r="D170">
        <v>2046</v>
      </c>
      <c r="E170">
        <v>234879.54870790799</v>
      </c>
      <c r="F170">
        <v>0</v>
      </c>
      <c r="G170">
        <v>319986.18390510598</v>
      </c>
      <c r="H170">
        <v>0</v>
      </c>
      <c r="I170">
        <v>35735.467538133496</v>
      </c>
      <c r="J170">
        <v>0</v>
      </c>
      <c r="K170" s="1">
        <f t="shared" si="1"/>
        <v>0.10000000000000009</v>
      </c>
    </row>
    <row r="171" spans="1:11" x14ac:dyDescent="0.35">
      <c r="A171">
        <v>106</v>
      </c>
      <c r="B171" t="s">
        <v>10</v>
      </c>
      <c r="C171" t="s">
        <v>11</v>
      </c>
      <c r="D171">
        <v>2047</v>
      </c>
      <c r="E171">
        <v>233852.24435270301</v>
      </c>
      <c r="F171">
        <v>0</v>
      </c>
      <c r="G171">
        <v>318631.29421309597</v>
      </c>
      <c r="H171">
        <v>0</v>
      </c>
      <c r="I171">
        <v>32349.232684832201</v>
      </c>
      <c r="J171">
        <v>0</v>
      </c>
      <c r="K171" s="1">
        <f t="shared" si="1"/>
        <v>0.10000000000000009</v>
      </c>
    </row>
    <row r="172" spans="1:11" x14ac:dyDescent="0.35">
      <c r="A172">
        <v>106</v>
      </c>
      <c r="B172" t="s">
        <v>10</v>
      </c>
      <c r="C172" t="s">
        <v>11</v>
      </c>
      <c r="D172">
        <v>2048</v>
      </c>
      <c r="E172">
        <v>232824.939870159</v>
      </c>
      <c r="F172">
        <v>0</v>
      </c>
      <c r="G172">
        <v>317272.750320116</v>
      </c>
      <c r="H172">
        <v>0</v>
      </c>
      <c r="I172">
        <v>29283.005185177499</v>
      </c>
      <c r="J172">
        <v>0</v>
      </c>
      <c r="K172" s="1">
        <f t="shared" si="1"/>
        <v>0.10000000000000009</v>
      </c>
    </row>
    <row r="173" spans="1:11" x14ac:dyDescent="0.35">
      <c r="A173">
        <v>106</v>
      </c>
      <c r="B173" t="s">
        <v>10</v>
      </c>
      <c r="C173" t="s">
        <v>11</v>
      </c>
      <c r="D173">
        <v>2049</v>
      </c>
      <c r="E173">
        <v>231797.63518921399</v>
      </c>
      <c r="F173">
        <v>0</v>
      </c>
      <c r="G173">
        <v>315910.83308302501</v>
      </c>
      <c r="H173">
        <v>0</v>
      </c>
      <c r="I173">
        <v>26506.641522132399</v>
      </c>
      <c r="J173">
        <v>0</v>
      </c>
      <c r="K173" s="1">
        <f t="shared" si="1"/>
        <v>0.10000000000000009</v>
      </c>
    </row>
    <row r="174" spans="1:11" x14ac:dyDescent="0.35">
      <c r="A174">
        <v>106</v>
      </c>
      <c r="B174" t="s">
        <v>10</v>
      </c>
      <c r="C174" t="s">
        <v>11</v>
      </c>
      <c r="D174">
        <v>2050</v>
      </c>
      <c r="E174">
        <v>230770.33053999199</v>
      </c>
      <c r="F174">
        <v>0</v>
      </c>
      <c r="G174">
        <v>314545.80256923498</v>
      </c>
      <c r="H174">
        <v>0</v>
      </c>
      <c r="I174">
        <v>23992.825471515102</v>
      </c>
      <c r="J174">
        <v>0</v>
      </c>
      <c r="K174" s="1">
        <f t="shared" si="1"/>
        <v>0.10000000000000009</v>
      </c>
    </row>
    <row r="175" spans="1:11" x14ac:dyDescent="0.35">
      <c r="A175">
        <v>106</v>
      </c>
      <c r="B175" t="s">
        <v>10</v>
      </c>
      <c r="C175" t="s">
        <v>11</v>
      </c>
      <c r="D175">
        <v>2051</v>
      </c>
      <c r="E175" t="s">
        <v>12</v>
      </c>
      <c r="F175" t="s">
        <v>12</v>
      </c>
      <c r="G175">
        <v>323982.176646312</v>
      </c>
      <c r="H175">
        <v>0</v>
      </c>
      <c r="I175">
        <v>4628316.8092330303</v>
      </c>
      <c r="J175">
        <v>0</v>
      </c>
      <c r="K175" s="1">
        <f t="shared" si="1"/>
        <v>-9.0603032986147247E-2</v>
      </c>
    </row>
    <row r="176" spans="1:11" x14ac:dyDescent="0.35">
      <c r="A176">
        <v>107</v>
      </c>
      <c r="B176" t="s">
        <v>15</v>
      </c>
      <c r="C176" t="s">
        <v>15</v>
      </c>
      <c r="D176">
        <v>2023</v>
      </c>
      <c r="E176">
        <v>1500000</v>
      </c>
      <c r="F176">
        <v>1500000</v>
      </c>
      <c r="G176">
        <v>10701854.6382</v>
      </c>
      <c r="H176">
        <v>10701854.6382</v>
      </c>
      <c r="I176">
        <v>10701854.6382</v>
      </c>
      <c r="J176">
        <v>10701854.6382</v>
      </c>
      <c r="K176" s="1" t="e">
        <f t="shared" si="1"/>
        <v>#DIV/0!</v>
      </c>
    </row>
    <row r="177" spans="1:11" x14ac:dyDescent="0.35">
      <c r="A177">
        <v>107</v>
      </c>
      <c r="B177" t="s">
        <v>15</v>
      </c>
      <c r="C177" t="s">
        <v>15</v>
      </c>
      <c r="D177">
        <v>2024</v>
      </c>
      <c r="E177">
        <v>1500000</v>
      </c>
      <c r="F177">
        <v>1500000</v>
      </c>
      <c r="G177">
        <v>10678903.374600001</v>
      </c>
      <c r="H177">
        <v>10678903.374600001</v>
      </c>
      <c r="I177">
        <v>9708093.9769090898</v>
      </c>
      <c r="J177">
        <v>9708093.9769090898</v>
      </c>
      <c r="K177" s="1">
        <f t="shared" si="1"/>
        <v>0.10000000000000009</v>
      </c>
    </row>
    <row r="178" spans="1:11" x14ac:dyDescent="0.35">
      <c r="A178">
        <v>107</v>
      </c>
      <c r="B178" t="s">
        <v>15</v>
      </c>
      <c r="C178" t="s">
        <v>15</v>
      </c>
      <c r="D178">
        <v>2025</v>
      </c>
      <c r="E178">
        <v>1500000</v>
      </c>
      <c r="F178">
        <v>1500000</v>
      </c>
      <c r="G178">
        <v>10655952.111</v>
      </c>
      <c r="H178">
        <v>10655952.111</v>
      </c>
      <c r="I178">
        <v>8806571.9925619792</v>
      </c>
      <c r="J178">
        <v>8806571.9925619792</v>
      </c>
      <c r="K178" s="1">
        <f t="shared" si="1"/>
        <v>0.10000000000000031</v>
      </c>
    </row>
    <row r="179" spans="1:11" x14ac:dyDescent="0.35">
      <c r="A179">
        <v>107</v>
      </c>
      <c r="B179" t="s">
        <v>15</v>
      </c>
      <c r="C179" t="s">
        <v>15</v>
      </c>
      <c r="D179">
        <v>2026</v>
      </c>
      <c r="E179">
        <v>1500000</v>
      </c>
      <c r="F179">
        <v>1500000</v>
      </c>
      <c r="G179">
        <v>10687394.287799999</v>
      </c>
      <c r="H179">
        <v>10687394.287799999</v>
      </c>
      <c r="I179">
        <v>8029597.5114951096</v>
      </c>
      <c r="J179">
        <v>8029597.5114951096</v>
      </c>
      <c r="K179" s="1">
        <f t="shared" si="1"/>
        <v>0.10000000000000031</v>
      </c>
    </row>
    <row r="180" spans="1:11" x14ac:dyDescent="0.35">
      <c r="A180">
        <v>107</v>
      </c>
      <c r="B180" t="s">
        <v>15</v>
      </c>
      <c r="C180" t="s">
        <v>15</v>
      </c>
      <c r="D180">
        <v>2027</v>
      </c>
      <c r="E180">
        <v>1500000</v>
      </c>
      <c r="F180">
        <v>1500000</v>
      </c>
      <c r="G180">
        <v>10718836.464600001</v>
      </c>
      <c r="H180">
        <v>10718836.464600001</v>
      </c>
      <c r="I180">
        <v>7321109.5311795603</v>
      </c>
      <c r="J180">
        <v>7321109.5311795603</v>
      </c>
      <c r="K180" s="1">
        <f t="shared" si="1"/>
        <v>0.10000000000000009</v>
      </c>
    </row>
    <row r="181" spans="1:11" x14ac:dyDescent="0.35">
      <c r="A181">
        <v>107</v>
      </c>
      <c r="B181" t="s">
        <v>15</v>
      </c>
      <c r="C181" t="s">
        <v>15</v>
      </c>
      <c r="D181">
        <v>2028</v>
      </c>
      <c r="E181">
        <v>1500000</v>
      </c>
      <c r="F181">
        <v>1500000</v>
      </c>
      <c r="G181">
        <v>10750278.643200001</v>
      </c>
      <c r="H181">
        <v>10750278.643200001</v>
      </c>
      <c r="I181">
        <v>6675077.23839032</v>
      </c>
      <c r="J181">
        <v>6675077.23839032</v>
      </c>
      <c r="K181" s="1">
        <f t="shared" si="1"/>
        <v>0.10000000000000009</v>
      </c>
    </row>
    <row r="182" spans="1:11" x14ac:dyDescent="0.35">
      <c r="A182">
        <v>107</v>
      </c>
      <c r="B182" t="s">
        <v>15</v>
      </c>
      <c r="C182" t="s">
        <v>15</v>
      </c>
      <c r="D182">
        <v>2029</v>
      </c>
      <c r="E182">
        <v>1500000</v>
      </c>
      <c r="F182">
        <v>1500000</v>
      </c>
      <c r="G182">
        <v>10781720.82</v>
      </c>
      <c r="H182">
        <v>10781720.82</v>
      </c>
      <c r="I182">
        <v>6086000.3240080299</v>
      </c>
      <c r="J182">
        <v>6086000.3240080299</v>
      </c>
      <c r="K182" s="1">
        <f t="shared" si="1"/>
        <v>0.10000000000000009</v>
      </c>
    </row>
    <row r="183" spans="1:11" x14ac:dyDescent="0.35">
      <c r="A183">
        <v>107</v>
      </c>
      <c r="B183" t="s">
        <v>15</v>
      </c>
      <c r="C183" t="s">
        <v>15</v>
      </c>
      <c r="D183">
        <v>2030</v>
      </c>
      <c r="E183">
        <v>1507630.0504201299</v>
      </c>
      <c r="F183">
        <v>1427783.6607503099</v>
      </c>
      <c r="G183">
        <v>10868166.3160444</v>
      </c>
      <c r="H183">
        <v>10292571.631907299</v>
      </c>
      <c r="I183">
        <v>5577087.77535972</v>
      </c>
      <c r="J183">
        <v>5281716.6903842902</v>
      </c>
      <c r="K183" s="1">
        <f t="shared" si="1"/>
        <v>9.9999999999999423E-2</v>
      </c>
    </row>
    <row r="184" spans="1:11" x14ac:dyDescent="0.35">
      <c r="A184">
        <v>107</v>
      </c>
      <c r="B184" t="s">
        <v>15</v>
      </c>
      <c r="C184" t="s">
        <v>15</v>
      </c>
      <c r="D184">
        <v>2031</v>
      </c>
      <c r="E184">
        <v>1511446.65235863</v>
      </c>
      <c r="F184">
        <v>1355567.3215006299</v>
      </c>
      <c r="G184">
        <v>10950462.684119601</v>
      </c>
      <c r="H184">
        <v>9913357.1249381397</v>
      </c>
      <c r="I184">
        <v>5108471.6588530801</v>
      </c>
      <c r="J184">
        <v>4624654.26143838</v>
      </c>
      <c r="K184" s="1">
        <f t="shared" si="1"/>
        <v>0.10000000000000009</v>
      </c>
    </row>
    <row r="185" spans="1:11" x14ac:dyDescent="0.35">
      <c r="A185">
        <v>107</v>
      </c>
      <c r="B185" t="s">
        <v>15</v>
      </c>
      <c r="C185" t="s">
        <v>15</v>
      </c>
      <c r="D185">
        <v>2032</v>
      </c>
      <c r="E185">
        <v>1515263.25429712</v>
      </c>
      <c r="F185">
        <v>1283350.9822509401</v>
      </c>
      <c r="G185">
        <v>11033035.722508799</v>
      </c>
      <c r="H185">
        <v>9519079.2286825608</v>
      </c>
      <c r="I185">
        <v>4679084.1733345101</v>
      </c>
      <c r="J185">
        <v>4037018.82998326</v>
      </c>
      <c r="K185" s="1">
        <f t="shared" si="1"/>
        <v>0.10000000000000053</v>
      </c>
    </row>
    <row r="186" spans="1:11" x14ac:dyDescent="0.35">
      <c r="A186">
        <v>107</v>
      </c>
      <c r="B186" t="s">
        <v>15</v>
      </c>
      <c r="C186" t="s">
        <v>15</v>
      </c>
      <c r="D186">
        <v>2033</v>
      </c>
      <c r="E186">
        <v>1519079.8573903099</v>
      </c>
      <c r="F186">
        <v>1211134.64300125</v>
      </c>
      <c r="G186">
        <v>11115885.4396613</v>
      </c>
      <c r="H186">
        <v>9109737.9431405608</v>
      </c>
      <c r="I186">
        <v>4285655.0373288598</v>
      </c>
      <c r="J186">
        <v>3512198.3324394198</v>
      </c>
      <c r="K186" s="1">
        <f t="shared" si="1"/>
        <v>9.9999999999999867E-2</v>
      </c>
    </row>
    <row r="187" spans="1:11" x14ac:dyDescent="0.35">
      <c r="A187">
        <v>107</v>
      </c>
      <c r="B187" t="s">
        <v>15</v>
      </c>
      <c r="C187" t="s">
        <v>15</v>
      </c>
      <c r="D187">
        <v>2034</v>
      </c>
      <c r="E187">
        <v>1522896.45932881</v>
      </c>
      <c r="F187">
        <v>1138918.3037515599</v>
      </c>
      <c r="G187">
        <v>11199011.8187203</v>
      </c>
      <c r="H187">
        <v>8685333.2683121208</v>
      </c>
      <c r="I187">
        <v>3925185.3226814601</v>
      </c>
      <c r="J187">
        <v>3044156.3255061801</v>
      </c>
      <c r="K187" s="1">
        <f t="shared" si="1"/>
        <v>0.10000000000000053</v>
      </c>
    </row>
    <row r="188" spans="1:11" x14ac:dyDescent="0.35">
      <c r="A188">
        <v>107</v>
      </c>
      <c r="B188" t="s">
        <v>15</v>
      </c>
      <c r="C188" t="s">
        <v>15</v>
      </c>
      <c r="D188">
        <v>2035</v>
      </c>
      <c r="E188">
        <v>1526713.0612673101</v>
      </c>
      <c r="F188">
        <v>1066701.9645018801</v>
      </c>
      <c r="G188">
        <v>11282414.8680932</v>
      </c>
      <c r="H188">
        <v>8245865.2041972596</v>
      </c>
      <c r="I188">
        <v>3594925.0751680098</v>
      </c>
      <c r="J188">
        <v>2627386.7727427501</v>
      </c>
      <c r="K188" s="1">
        <f t="shared" si="1"/>
        <v>0.10000000000000031</v>
      </c>
    </row>
    <row r="189" spans="1:11" x14ac:dyDescent="0.35">
      <c r="A189">
        <v>107</v>
      </c>
      <c r="B189" t="s">
        <v>15</v>
      </c>
      <c r="C189" t="s">
        <v>15</v>
      </c>
      <c r="D189">
        <v>2036</v>
      </c>
      <c r="E189">
        <v>1530139.6056484601</v>
      </c>
      <c r="F189">
        <v>994485.625252189</v>
      </c>
      <c r="G189">
        <v>11330863.5069646</v>
      </c>
      <c r="H189">
        <v>7791333.7507959697</v>
      </c>
      <c r="I189">
        <v>3282147.5496259802</v>
      </c>
      <c r="J189">
        <v>2256871.8582458301</v>
      </c>
      <c r="K189" s="1">
        <f t="shared" si="1"/>
        <v>9.9999999999999867E-2</v>
      </c>
    </row>
    <row r="190" spans="1:11" x14ac:dyDescent="0.35">
      <c r="A190">
        <v>107</v>
      </c>
      <c r="B190" t="s">
        <v>15</v>
      </c>
      <c r="C190" t="s">
        <v>15</v>
      </c>
      <c r="D190">
        <v>2037</v>
      </c>
      <c r="E190">
        <v>1533566.1500296199</v>
      </c>
      <c r="F190">
        <v>922269.28600250196</v>
      </c>
      <c r="G190">
        <v>11379415.723123601</v>
      </c>
      <c r="H190">
        <v>7321738.90810824</v>
      </c>
      <c r="I190">
        <v>2996555.81564047</v>
      </c>
      <c r="J190">
        <v>1928042.69037377</v>
      </c>
      <c r="K190" s="1">
        <f t="shared" si="1"/>
        <v>9.9999999999999867E-2</v>
      </c>
    </row>
    <row r="191" spans="1:11" x14ac:dyDescent="0.35">
      <c r="A191">
        <v>107</v>
      </c>
      <c r="B191" t="s">
        <v>15</v>
      </c>
      <c r="C191" t="s">
        <v>15</v>
      </c>
      <c r="D191">
        <v>2038</v>
      </c>
      <c r="E191">
        <v>1536992.69441077</v>
      </c>
      <c r="F191">
        <v>850052.94675281504</v>
      </c>
      <c r="G191">
        <v>11428071.516570101</v>
      </c>
      <c r="H191">
        <v>6837080.6761340899</v>
      </c>
      <c r="I191">
        <v>2735789.4606890902</v>
      </c>
      <c r="J191">
        <v>1636742.75476204</v>
      </c>
      <c r="K191" s="1">
        <f t="shared" si="1"/>
        <v>9.9999999999999867E-2</v>
      </c>
    </row>
    <row r="192" spans="1:11" x14ac:dyDescent="0.35">
      <c r="A192">
        <v>107</v>
      </c>
      <c r="B192" t="s">
        <v>15</v>
      </c>
      <c r="C192" t="s">
        <v>15</v>
      </c>
      <c r="D192">
        <v>2039</v>
      </c>
      <c r="E192">
        <v>1540419.23879192</v>
      </c>
      <c r="F192">
        <v>777836.60750312801</v>
      </c>
      <c r="G192">
        <v>11476830.887304099</v>
      </c>
      <c r="H192">
        <v>6337359.0548735</v>
      </c>
      <c r="I192">
        <v>2497692.7876136801</v>
      </c>
      <c r="J192">
        <v>1379193.9743039899</v>
      </c>
      <c r="K192" s="1">
        <f t="shared" si="1"/>
        <v>9.9999999999999867E-2</v>
      </c>
    </row>
    <row r="193" spans="1:11" x14ac:dyDescent="0.35">
      <c r="A193">
        <v>107</v>
      </c>
      <c r="B193" t="s">
        <v>15</v>
      </c>
      <c r="C193" t="s">
        <v>15</v>
      </c>
      <c r="D193">
        <v>2040</v>
      </c>
      <c r="E193">
        <v>1543845.7831730801</v>
      </c>
      <c r="F193">
        <v>705620.26825344004</v>
      </c>
      <c r="G193">
        <v>11525693.835325601</v>
      </c>
      <c r="H193">
        <v>5822574.0443264898</v>
      </c>
      <c r="I193">
        <v>2280297.0806943201</v>
      </c>
      <c r="J193">
        <v>1151965.2339462901</v>
      </c>
      <c r="K193" s="1">
        <f t="shared" si="1"/>
        <v>0.10000000000000009</v>
      </c>
    </row>
    <row r="194" spans="1:11" x14ac:dyDescent="0.35">
      <c r="A194">
        <v>107</v>
      </c>
      <c r="B194" t="s">
        <v>15</v>
      </c>
      <c r="C194" t="s">
        <v>15</v>
      </c>
      <c r="D194">
        <v>2041</v>
      </c>
      <c r="E194">
        <v>1544943.45404978</v>
      </c>
      <c r="F194">
        <v>633403.929003753</v>
      </c>
      <c r="G194">
        <v>11560109.094124399</v>
      </c>
      <c r="H194">
        <v>5292725.6444930499</v>
      </c>
      <c r="I194">
        <v>2079187.23288771</v>
      </c>
      <c r="J194">
        <v>951943.22973998298</v>
      </c>
      <c r="K194" s="1">
        <f t="shared" si="1"/>
        <v>0.10000000000000009</v>
      </c>
    </row>
    <row r="195" spans="1:11" x14ac:dyDescent="0.35">
      <c r="A195">
        <v>107</v>
      </c>
      <c r="B195" t="s">
        <v>15</v>
      </c>
      <c r="C195" t="s">
        <v>15</v>
      </c>
      <c r="D195">
        <v>2042</v>
      </c>
      <c r="E195">
        <v>1546041.12608116</v>
      </c>
      <c r="F195">
        <v>561187.58975406596</v>
      </c>
      <c r="G195">
        <v>11594561.620548099</v>
      </c>
      <c r="H195">
        <v>4747813.8553731795</v>
      </c>
      <c r="I195">
        <v>1895803.47509054</v>
      </c>
      <c r="J195">
        <v>776305.50431056099</v>
      </c>
      <c r="K195" s="1">
        <f t="shared" si="1"/>
        <v>0.10000000000000009</v>
      </c>
    </row>
    <row r="196" spans="1:11" x14ac:dyDescent="0.35">
      <c r="A196">
        <v>107</v>
      </c>
      <c r="B196" t="s">
        <v>15</v>
      </c>
      <c r="C196" t="s">
        <v>15</v>
      </c>
      <c r="D196">
        <v>2043</v>
      </c>
      <c r="E196">
        <v>1547138.79695786</v>
      </c>
      <c r="F196">
        <v>488971.25050437899</v>
      </c>
      <c r="G196">
        <v>11629051.397297099</v>
      </c>
      <c r="H196">
        <v>4187838.67696688</v>
      </c>
      <c r="I196">
        <v>1728584.3901734699</v>
      </c>
      <c r="J196">
        <v>622495.534524185</v>
      </c>
      <c r="K196" s="1">
        <f t="shared" ref="K196:K259" si="2">(G196/I196)^(1/(D196-$D$2))-1</f>
        <v>0.10000000000000031</v>
      </c>
    </row>
    <row r="197" spans="1:11" x14ac:dyDescent="0.35">
      <c r="A197">
        <v>107</v>
      </c>
      <c r="B197" t="s">
        <v>15</v>
      </c>
      <c r="C197" t="s">
        <v>15</v>
      </c>
      <c r="D197">
        <v>2044</v>
      </c>
      <c r="E197">
        <v>1548236.46898925</v>
      </c>
      <c r="F197">
        <v>416754.91125469102</v>
      </c>
      <c r="G197">
        <v>11663578.4398522</v>
      </c>
      <c r="H197">
        <v>3612800.1092741401</v>
      </c>
      <c r="I197">
        <v>1576106.0136761901</v>
      </c>
      <c r="J197">
        <v>488199.74142593698</v>
      </c>
      <c r="K197" s="1">
        <f t="shared" si="2"/>
        <v>0.10000000000000009</v>
      </c>
    </row>
    <row r="198" spans="1:11" x14ac:dyDescent="0.35">
      <c r="A198">
        <v>107</v>
      </c>
      <c r="B198" t="s">
        <v>15</v>
      </c>
      <c r="C198" t="s">
        <v>15</v>
      </c>
      <c r="D198">
        <v>2045</v>
      </c>
      <c r="E198">
        <v>1549334.13986595</v>
      </c>
      <c r="F198">
        <v>344538.57200500398</v>
      </c>
      <c r="G198">
        <v>11698142.734549999</v>
      </c>
      <c r="H198">
        <v>3022698.1522949799</v>
      </c>
      <c r="I198">
        <v>1437069.7332295701</v>
      </c>
      <c r="J198">
        <v>371326.29733801697</v>
      </c>
      <c r="K198" s="1">
        <f t="shared" si="2"/>
        <v>0.10000000000000031</v>
      </c>
    </row>
    <row r="199" spans="1:11" x14ac:dyDescent="0.35">
      <c r="A199">
        <v>107</v>
      </c>
      <c r="B199" t="s">
        <v>15</v>
      </c>
      <c r="C199" t="s">
        <v>15</v>
      </c>
      <c r="D199">
        <v>2046</v>
      </c>
      <c r="E199">
        <v>1548150.92613137</v>
      </c>
      <c r="F199">
        <v>272322.232755317</v>
      </c>
      <c r="G199">
        <v>11702543.0716567</v>
      </c>
      <c r="H199">
        <v>2417532.8060293901</v>
      </c>
      <c r="I199">
        <v>1306918.4517504601</v>
      </c>
      <c r="J199">
        <v>269985.61018452002</v>
      </c>
      <c r="K199" s="1">
        <f t="shared" si="2"/>
        <v>9.9999999999999867E-2</v>
      </c>
    </row>
    <row r="200" spans="1:11" x14ac:dyDescent="0.35">
      <c r="A200">
        <v>107</v>
      </c>
      <c r="B200" t="s">
        <v>15</v>
      </c>
      <c r="C200" t="s">
        <v>15</v>
      </c>
      <c r="D200">
        <v>2047</v>
      </c>
      <c r="E200">
        <v>1546967.71239679</v>
      </c>
      <c r="F200">
        <v>200105.89350563</v>
      </c>
      <c r="G200">
        <v>11706923.0250377</v>
      </c>
      <c r="H200">
        <v>1797304.0704773699</v>
      </c>
      <c r="I200">
        <v>1188552.3607957</v>
      </c>
      <c r="J200">
        <v>182472.37053365001</v>
      </c>
      <c r="K200" s="1">
        <f t="shared" si="2"/>
        <v>0.10000000000000009</v>
      </c>
    </row>
    <row r="201" spans="1:11" x14ac:dyDescent="0.35">
      <c r="A201">
        <v>107</v>
      </c>
      <c r="B201" t="s">
        <v>15</v>
      </c>
      <c r="C201" t="s">
        <v>15</v>
      </c>
      <c r="D201">
        <v>2048</v>
      </c>
      <c r="E201">
        <v>1545784.4998168999</v>
      </c>
      <c r="F201">
        <v>127889.554255942</v>
      </c>
      <c r="G201">
        <v>11711282.6071552</v>
      </c>
      <c r="H201">
        <v>1162011.9456389199</v>
      </c>
      <c r="I201">
        <v>1080904.5181610801</v>
      </c>
      <c r="J201">
        <v>107249.052416416</v>
      </c>
      <c r="K201" s="1">
        <f t="shared" si="2"/>
        <v>0.10000000000000009</v>
      </c>
    </row>
    <row r="202" spans="1:11" x14ac:dyDescent="0.35">
      <c r="A202">
        <v>107</v>
      </c>
      <c r="B202" t="s">
        <v>15</v>
      </c>
      <c r="C202" t="s">
        <v>15</v>
      </c>
      <c r="D202">
        <v>2049</v>
      </c>
      <c r="E202">
        <v>1544601.2860823199</v>
      </c>
      <c r="F202">
        <v>55673.215006255101</v>
      </c>
      <c r="G202">
        <v>11715621.796811599</v>
      </c>
      <c r="H202">
        <v>511656.43151403603</v>
      </c>
      <c r="I202">
        <v>983004.55272881105</v>
      </c>
      <c r="J202">
        <v>42930.764609366001</v>
      </c>
      <c r="K202" s="1">
        <f t="shared" si="2"/>
        <v>0.10000000000000031</v>
      </c>
    </row>
    <row r="203" spans="1:11" x14ac:dyDescent="0.35">
      <c r="A203">
        <v>107</v>
      </c>
      <c r="B203" t="s">
        <v>15</v>
      </c>
      <c r="C203" t="s">
        <v>15</v>
      </c>
      <c r="D203">
        <v>2050</v>
      </c>
      <c r="E203">
        <v>1543418.0723477399</v>
      </c>
      <c r="F203">
        <v>0</v>
      </c>
      <c r="G203">
        <v>11719940.6064534</v>
      </c>
      <c r="H203">
        <v>0</v>
      </c>
      <c r="I203">
        <v>893969.93127977301</v>
      </c>
      <c r="J203">
        <v>0</v>
      </c>
      <c r="K203" s="1">
        <f t="shared" si="2"/>
        <v>9.9999999999999867E-2</v>
      </c>
    </row>
    <row r="204" spans="1:11" x14ac:dyDescent="0.35">
      <c r="A204">
        <v>107</v>
      </c>
      <c r="B204" t="s">
        <v>15</v>
      </c>
      <c r="C204" t="s">
        <v>15</v>
      </c>
      <c r="D204">
        <v>2051</v>
      </c>
      <c r="E204" t="s">
        <v>12</v>
      </c>
      <c r="F204" t="s">
        <v>12</v>
      </c>
      <c r="G204">
        <v>12071538.824647</v>
      </c>
      <c r="H204">
        <v>0</v>
      </c>
      <c r="I204">
        <v>172450554.637815</v>
      </c>
      <c r="J204">
        <v>0</v>
      </c>
      <c r="K204" s="1">
        <f t="shared" si="2"/>
        <v>-9.0603032986147358E-2</v>
      </c>
    </row>
    <row r="205" spans="1:11" x14ac:dyDescent="0.35">
      <c r="A205">
        <v>108</v>
      </c>
      <c r="B205" t="s">
        <v>15</v>
      </c>
      <c r="C205" t="s">
        <v>15</v>
      </c>
      <c r="D205">
        <v>2023</v>
      </c>
      <c r="E205">
        <v>70000</v>
      </c>
      <c r="F205">
        <v>70000</v>
      </c>
      <c r="G205">
        <v>41618.323593000001</v>
      </c>
      <c r="H205">
        <v>41618.323593000001</v>
      </c>
      <c r="I205">
        <v>41618.323593000001</v>
      </c>
      <c r="J205">
        <v>41618.323593000001</v>
      </c>
      <c r="K205" s="1" t="e">
        <f t="shared" si="2"/>
        <v>#DIV/0!</v>
      </c>
    </row>
    <row r="206" spans="1:11" x14ac:dyDescent="0.35">
      <c r="A206">
        <v>108</v>
      </c>
      <c r="B206" t="s">
        <v>15</v>
      </c>
      <c r="C206" t="s">
        <v>15</v>
      </c>
      <c r="D206">
        <v>2024</v>
      </c>
      <c r="E206">
        <v>70000</v>
      </c>
      <c r="F206">
        <v>70000</v>
      </c>
      <c r="G206">
        <v>41529.068679000004</v>
      </c>
      <c r="H206">
        <v>41529.068679000004</v>
      </c>
      <c r="I206">
        <v>37753.698799090897</v>
      </c>
      <c r="J206">
        <v>37753.698799090897</v>
      </c>
      <c r="K206" s="1">
        <f t="shared" si="2"/>
        <v>0.10000000000000053</v>
      </c>
    </row>
    <row r="207" spans="1:11" x14ac:dyDescent="0.35">
      <c r="A207">
        <v>108</v>
      </c>
      <c r="B207" t="s">
        <v>15</v>
      </c>
      <c r="C207" t="s">
        <v>15</v>
      </c>
      <c r="D207">
        <v>2025</v>
      </c>
      <c r="E207">
        <v>70000</v>
      </c>
      <c r="F207">
        <v>70000</v>
      </c>
      <c r="G207">
        <v>41439.813764999999</v>
      </c>
      <c r="H207">
        <v>41439.813764999999</v>
      </c>
      <c r="I207">
        <v>34247.7799710744</v>
      </c>
      <c r="J207">
        <v>34247.7799710744</v>
      </c>
      <c r="K207" s="1">
        <f t="shared" si="2"/>
        <v>9.9999999999999645E-2</v>
      </c>
    </row>
    <row r="208" spans="1:11" x14ac:dyDescent="0.35">
      <c r="A208">
        <v>108</v>
      </c>
      <c r="B208" t="s">
        <v>15</v>
      </c>
      <c r="C208" t="s">
        <v>15</v>
      </c>
      <c r="D208">
        <v>2026</v>
      </c>
      <c r="E208">
        <v>70000</v>
      </c>
      <c r="F208">
        <v>70000</v>
      </c>
      <c r="G208">
        <v>41562.088897000001</v>
      </c>
      <c r="H208">
        <v>41562.088897000001</v>
      </c>
      <c r="I208">
        <v>31226.212544703201</v>
      </c>
      <c r="J208">
        <v>31226.212544703201</v>
      </c>
      <c r="K208" s="1">
        <f t="shared" si="2"/>
        <v>0.10000000000000031</v>
      </c>
    </row>
    <row r="209" spans="1:11" x14ac:dyDescent="0.35">
      <c r="A209">
        <v>108</v>
      </c>
      <c r="B209" t="s">
        <v>15</v>
      </c>
      <c r="C209" t="s">
        <v>15</v>
      </c>
      <c r="D209">
        <v>2027</v>
      </c>
      <c r="E209">
        <v>70000</v>
      </c>
      <c r="F209">
        <v>70000</v>
      </c>
      <c r="G209">
        <v>41684.364028999997</v>
      </c>
      <c r="H209">
        <v>41684.364028999997</v>
      </c>
      <c r="I209">
        <v>28470.981510142701</v>
      </c>
      <c r="J209">
        <v>28470.981510142701</v>
      </c>
      <c r="K209" s="1">
        <f t="shared" si="2"/>
        <v>0.10000000000000053</v>
      </c>
    </row>
    <row r="210" spans="1:11" x14ac:dyDescent="0.35">
      <c r="A210">
        <v>108</v>
      </c>
      <c r="B210" t="s">
        <v>15</v>
      </c>
      <c r="C210" t="s">
        <v>15</v>
      </c>
      <c r="D210">
        <v>2028</v>
      </c>
      <c r="E210">
        <v>70000</v>
      </c>
      <c r="F210">
        <v>70000</v>
      </c>
      <c r="G210">
        <v>41806.639168000002</v>
      </c>
      <c r="H210">
        <v>41806.639168000002</v>
      </c>
      <c r="I210">
        <v>25958.633704851301</v>
      </c>
      <c r="J210">
        <v>25958.633704851301</v>
      </c>
      <c r="K210" s="1">
        <f t="shared" si="2"/>
        <v>9.9999999999999645E-2</v>
      </c>
    </row>
    <row r="211" spans="1:11" x14ac:dyDescent="0.35">
      <c r="A211">
        <v>108</v>
      </c>
      <c r="B211" t="s">
        <v>15</v>
      </c>
      <c r="C211" t="s">
        <v>15</v>
      </c>
      <c r="D211">
        <v>2029</v>
      </c>
      <c r="E211">
        <v>70000</v>
      </c>
      <c r="F211">
        <v>70000</v>
      </c>
      <c r="G211">
        <v>41928.914299999997</v>
      </c>
      <c r="H211">
        <v>41928.914299999997</v>
      </c>
      <c r="I211">
        <v>23667.779037808999</v>
      </c>
      <c r="J211">
        <v>23667.779037808999</v>
      </c>
      <c r="K211" s="1">
        <f t="shared" si="2"/>
        <v>0.10000000000000031</v>
      </c>
    </row>
    <row r="212" spans="1:11" x14ac:dyDescent="0.35">
      <c r="A212">
        <v>108</v>
      </c>
      <c r="B212" t="s">
        <v>15</v>
      </c>
      <c r="C212" t="s">
        <v>15</v>
      </c>
      <c r="D212">
        <v>2030</v>
      </c>
      <c r="E212">
        <v>70356.069019606104</v>
      </c>
      <c r="F212">
        <v>66629.904168347901</v>
      </c>
      <c r="G212">
        <v>42265.091229061698</v>
      </c>
      <c r="H212">
        <v>40026.667457417199</v>
      </c>
      <c r="I212">
        <v>21688.674681954501</v>
      </c>
      <c r="J212">
        <v>20540.0093514945</v>
      </c>
      <c r="K212" s="1">
        <f t="shared" si="2"/>
        <v>9.9999999999999645E-2</v>
      </c>
    </row>
    <row r="213" spans="1:11" x14ac:dyDescent="0.35">
      <c r="A213">
        <v>108</v>
      </c>
      <c r="B213" t="s">
        <v>15</v>
      </c>
      <c r="C213" t="s">
        <v>15</v>
      </c>
      <c r="D213">
        <v>2031</v>
      </c>
      <c r="E213">
        <v>70534.1771100693</v>
      </c>
      <c r="F213">
        <v>63259.808336695904</v>
      </c>
      <c r="G213">
        <v>42585.132660465199</v>
      </c>
      <c r="H213">
        <v>38551.944374759398</v>
      </c>
      <c r="I213">
        <v>19866.278673317502</v>
      </c>
      <c r="J213">
        <v>17984.7665722604</v>
      </c>
      <c r="K213" s="1">
        <f t="shared" si="2"/>
        <v>0.10000000000000053</v>
      </c>
    </row>
    <row r="214" spans="1:11" x14ac:dyDescent="0.35">
      <c r="A214">
        <v>108</v>
      </c>
      <c r="B214" t="s">
        <v>15</v>
      </c>
      <c r="C214" t="s">
        <v>15</v>
      </c>
      <c r="D214">
        <v>2032</v>
      </c>
      <c r="E214">
        <v>70712.285200532497</v>
      </c>
      <c r="F214">
        <v>59889.712505043797</v>
      </c>
      <c r="G214">
        <v>42906.250031978503</v>
      </c>
      <c r="H214">
        <v>37018.641444876601</v>
      </c>
      <c r="I214">
        <v>18196.4384518564</v>
      </c>
      <c r="J214">
        <v>15699.517672157101</v>
      </c>
      <c r="K214" s="1">
        <f t="shared" si="2"/>
        <v>0.10000000000000031</v>
      </c>
    </row>
    <row r="215" spans="1:11" x14ac:dyDescent="0.35">
      <c r="A215">
        <v>108</v>
      </c>
      <c r="B215" t="s">
        <v>15</v>
      </c>
      <c r="C215" t="s">
        <v>15</v>
      </c>
      <c r="D215">
        <v>2033</v>
      </c>
      <c r="E215">
        <v>70890.393344881202</v>
      </c>
      <c r="F215">
        <v>56519.616673391698</v>
      </c>
      <c r="G215">
        <v>43228.443376460702</v>
      </c>
      <c r="H215">
        <v>35426.758667768801</v>
      </c>
      <c r="I215">
        <v>16666.436256278899</v>
      </c>
      <c r="J215">
        <v>13658.549070597801</v>
      </c>
      <c r="K215" s="1">
        <f t="shared" si="2"/>
        <v>0.10000000000000009</v>
      </c>
    </row>
    <row r="216" spans="1:11" x14ac:dyDescent="0.35">
      <c r="A216">
        <v>108</v>
      </c>
      <c r="B216" t="s">
        <v>15</v>
      </c>
      <c r="C216" t="s">
        <v>15</v>
      </c>
      <c r="D216">
        <v>2034</v>
      </c>
      <c r="E216">
        <v>71068.501435344398</v>
      </c>
      <c r="F216">
        <v>53149.520841739599</v>
      </c>
      <c r="G216">
        <v>43551.712628356501</v>
      </c>
      <c r="H216">
        <v>33776.296043435999</v>
      </c>
      <c r="I216">
        <v>15264.6095882057</v>
      </c>
      <c r="J216">
        <v>11838.3857103018</v>
      </c>
      <c r="K216" s="1">
        <f t="shared" si="2"/>
        <v>9.9999999999999867E-2</v>
      </c>
    </row>
    <row r="217" spans="1:11" x14ac:dyDescent="0.35">
      <c r="A217">
        <v>108</v>
      </c>
      <c r="B217" t="s">
        <v>15</v>
      </c>
      <c r="C217" t="s">
        <v>15</v>
      </c>
      <c r="D217">
        <v>2035</v>
      </c>
      <c r="E217">
        <v>71246.609525807595</v>
      </c>
      <c r="F217">
        <v>49779.425010087602</v>
      </c>
      <c r="G217">
        <v>43876.057820362301</v>
      </c>
      <c r="H217">
        <v>32067.253571878198</v>
      </c>
      <c r="I217">
        <v>13980.2641812089</v>
      </c>
      <c r="J217">
        <v>10217.615227332901</v>
      </c>
      <c r="K217" s="1">
        <f t="shared" si="2"/>
        <v>0.10000000000000031</v>
      </c>
    </row>
    <row r="218" spans="1:11" x14ac:dyDescent="0.35">
      <c r="A218">
        <v>108</v>
      </c>
      <c r="B218" t="s">
        <v>15</v>
      </c>
      <c r="C218" t="s">
        <v>15</v>
      </c>
      <c r="D218">
        <v>2036</v>
      </c>
      <c r="E218">
        <v>71406.514930261503</v>
      </c>
      <c r="F218">
        <v>46409.329178435502</v>
      </c>
      <c r="G218">
        <v>44064.4691937514</v>
      </c>
      <c r="H218">
        <v>30299.631253095398</v>
      </c>
      <c r="I218">
        <v>12763.9071374344</v>
      </c>
      <c r="J218">
        <v>8776.7238931782395</v>
      </c>
      <c r="K218" s="1">
        <f t="shared" si="2"/>
        <v>9.9999999999999867E-2</v>
      </c>
    </row>
    <row r="219" spans="1:11" x14ac:dyDescent="0.35">
      <c r="A219">
        <v>108</v>
      </c>
      <c r="B219" t="s">
        <v>15</v>
      </c>
      <c r="C219" t="s">
        <v>15</v>
      </c>
      <c r="D219">
        <v>2037</v>
      </c>
      <c r="E219">
        <v>71566.420334715396</v>
      </c>
      <c r="F219">
        <v>43039.233346783403</v>
      </c>
      <c r="G219">
        <v>44253.283367702999</v>
      </c>
      <c r="H219">
        <v>28473.429087087599</v>
      </c>
      <c r="I219">
        <v>11653.2726163796</v>
      </c>
      <c r="J219">
        <v>7497.9437958979897</v>
      </c>
      <c r="K219" s="1">
        <f t="shared" si="2"/>
        <v>0.10000000000000009</v>
      </c>
    </row>
    <row r="220" spans="1:11" x14ac:dyDescent="0.35">
      <c r="A220">
        <v>108</v>
      </c>
      <c r="B220" t="s">
        <v>15</v>
      </c>
      <c r="C220" t="s">
        <v>15</v>
      </c>
      <c r="D220">
        <v>2038</v>
      </c>
      <c r="E220">
        <v>71726.325739169202</v>
      </c>
      <c r="F220">
        <v>39669.137515131399</v>
      </c>
      <c r="G220">
        <v>44442.500342217201</v>
      </c>
      <c r="H220">
        <v>26588.647073854801</v>
      </c>
      <c r="I220">
        <v>10639.181236013101</v>
      </c>
      <c r="J220">
        <v>6365.1107129635102</v>
      </c>
      <c r="K220" s="1">
        <f t="shared" si="2"/>
        <v>0.10000000000000031</v>
      </c>
    </row>
    <row r="221" spans="1:11" x14ac:dyDescent="0.35">
      <c r="A221">
        <v>108</v>
      </c>
      <c r="B221" t="s">
        <v>15</v>
      </c>
      <c r="C221" t="s">
        <v>15</v>
      </c>
      <c r="D221">
        <v>2039</v>
      </c>
      <c r="E221">
        <v>71886.231143623096</v>
      </c>
      <c r="F221">
        <v>36299.0416834793</v>
      </c>
      <c r="G221">
        <v>44632.120117293802</v>
      </c>
      <c r="H221">
        <v>24645.285213397001</v>
      </c>
      <c r="I221">
        <v>9713.2497296087495</v>
      </c>
      <c r="J221">
        <v>5363.5321222933098</v>
      </c>
      <c r="K221" s="1">
        <f t="shared" si="2"/>
        <v>0.10000000000000009</v>
      </c>
    </row>
    <row r="222" spans="1:11" x14ac:dyDescent="0.35">
      <c r="A222">
        <v>108</v>
      </c>
      <c r="B222" t="s">
        <v>15</v>
      </c>
      <c r="C222" t="s">
        <v>15</v>
      </c>
      <c r="D222">
        <v>2040</v>
      </c>
      <c r="E222">
        <v>72046.136548077004</v>
      </c>
      <c r="F222">
        <v>32928.9458518272</v>
      </c>
      <c r="G222">
        <v>44822.142692932903</v>
      </c>
      <c r="H222">
        <v>22643.3435057141</v>
      </c>
      <c r="I222">
        <v>8867.8219804779201</v>
      </c>
      <c r="J222">
        <v>4479.8647986800397</v>
      </c>
      <c r="K222" s="1">
        <f t="shared" si="2"/>
        <v>0.10000000000000009</v>
      </c>
    </row>
    <row r="223" spans="1:11" x14ac:dyDescent="0.35">
      <c r="A223">
        <v>108</v>
      </c>
      <c r="B223" t="s">
        <v>15</v>
      </c>
      <c r="C223" t="s">
        <v>15</v>
      </c>
      <c r="D223">
        <v>2041</v>
      </c>
      <c r="E223">
        <v>72097.361188989598</v>
      </c>
      <c r="F223">
        <v>29558.850020175101</v>
      </c>
      <c r="G223">
        <v>44955.979810483797</v>
      </c>
      <c r="H223">
        <v>20582.821950806301</v>
      </c>
      <c r="I223">
        <v>8085.7281278966602</v>
      </c>
      <c r="J223">
        <v>3702.0014489888199</v>
      </c>
      <c r="K223" s="1">
        <f t="shared" si="2"/>
        <v>0.10000000000000009</v>
      </c>
    </row>
    <row r="224" spans="1:11" x14ac:dyDescent="0.35">
      <c r="A224">
        <v>108</v>
      </c>
      <c r="B224" t="s">
        <v>15</v>
      </c>
      <c r="C224" t="s">
        <v>15</v>
      </c>
      <c r="D224">
        <v>2042</v>
      </c>
      <c r="E224">
        <v>72148.5858837876</v>
      </c>
      <c r="F224">
        <v>26188.7541885231</v>
      </c>
      <c r="G224">
        <v>45089.9618576871</v>
      </c>
      <c r="H224">
        <v>18463.7205486735</v>
      </c>
      <c r="I224">
        <v>7372.5690697965401</v>
      </c>
      <c r="J224">
        <v>3018.9658500966302</v>
      </c>
      <c r="K224" s="1">
        <f t="shared" si="2"/>
        <v>0.10000000000000009</v>
      </c>
    </row>
    <row r="225" spans="1:11" x14ac:dyDescent="0.35">
      <c r="A225">
        <v>108</v>
      </c>
      <c r="B225" t="s">
        <v>15</v>
      </c>
      <c r="C225" t="s">
        <v>15</v>
      </c>
      <c r="D225">
        <v>2043</v>
      </c>
      <c r="E225">
        <v>72199.810524700195</v>
      </c>
      <c r="F225">
        <v>22818.658356871001</v>
      </c>
      <c r="G225">
        <v>45224.088767266403</v>
      </c>
      <c r="H225">
        <v>16286.0392993156</v>
      </c>
      <c r="I225">
        <v>6722.2726284523796</v>
      </c>
      <c r="J225">
        <v>2420.8159675940501</v>
      </c>
      <c r="K225" s="1">
        <f t="shared" si="2"/>
        <v>0.10000000000000009</v>
      </c>
    </row>
    <row r="226" spans="1:11" x14ac:dyDescent="0.35">
      <c r="A226">
        <v>108</v>
      </c>
      <c r="B226" t="s">
        <v>15</v>
      </c>
      <c r="C226" t="s">
        <v>15</v>
      </c>
      <c r="D226">
        <v>2044</v>
      </c>
      <c r="E226">
        <v>72251.035219498299</v>
      </c>
      <c r="F226">
        <v>19448.562525218898</v>
      </c>
      <c r="G226">
        <v>45358.360599425301</v>
      </c>
      <c r="H226">
        <v>14049.778202732799</v>
      </c>
      <c r="I226">
        <v>6129.3011642963002</v>
      </c>
      <c r="J226">
        <v>1898.5545499897501</v>
      </c>
      <c r="K226" s="1">
        <f t="shared" si="2"/>
        <v>0.10000000000000009</v>
      </c>
    </row>
    <row r="227" spans="1:11" x14ac:dyDescent="0.35">
      <c r="A227">
        <v>108</v>
      </c>
      <c r="B227" t="s">
        <v>15</v>
      </c>
      <c r="C227" t="s">
        <v>15</v>
      </c>
      <c r="D227">
        <v>2045</v>
      </c>
      <c r="E227">
        <v>72302.259860410806</v>
      </c>
      <c r="F227">
        <v>16078.466693566899</v>
      </c>
      <c r="G227">
        <v>45492.777301027803</v>
      </c>
      <c r="H227">
        <v>11754.9372589249</v>
      </c>
      <c r="I227">
        <v>5588.6045181150103</v>
      </c>
      <c r="J227">
        <v>1444.0467118700701</v>
      </c>
      <c r="K227" s="1">
        <f t="shared" si="2"/>
        <v>0.10000000000000009</v>
      </c>
    </row>
    <row r="228" spans="1:11" x14ac:dyDescent="0.35">
      <c r="A228">
        <v>108</v>
      </c>
      <c r="B228" t="s">
        <v>15</v>
      </c>
      <c r="C228" t="s">
        <v>15</v>
      </c>
      <c r="D228">
        <v>2046</v>
      </c>
      <c r="E228">
        <v>72247.043219463798</v>
      </c>
      <c r="F228">
        <v>12708.3708619148</v>
      </c>
      <c r="G228">
        <v>45509.889723109402</v>
      </c>
      <c r="H228">
        <v>9401.5164678920792</v>
      </c>
      <c r="I228">
        <v>5082.4606456962201</v>
      </c>
      <c r="J228">
        <v>1049.9440396064699</v>
      </c>
      <c r="K228" s="1">
        <f t="shared" si="2"/>
        <v>0.10000000000000009</v>
      </c>
    </row>
    <row r="229" spans="1:11" x14ac:dyDescent="0.35">
      <c r="A229">
        <v>108</v>
      </c>
      <c r="B229" t="s">
        <v>15</v>
      </c>
      <c r="C229" t="s">
        <v>15</v>
      </c>
      <c r="D229">
        <v>2047</v>
      </c>
      <c r="E229">
        <v>72191.826578516804</v>
      </c>
      <c r="F229">
        <v>9338.2750302627192</v>
      </c>
      <c r="G229">
        <v>45526.922875146498</v>
      </c>
      <c r="H229">
        <v>6989.5158296342197</v>
      </c>
      <c r="I229">
        <v>4622.1480697610396</v>
      </c>
      <c r="J229">
        <v>709.61477429752802</v>
      </c>
      <c r="K229" s="1">
        <f t="shared" si="2"/>
        <v>0.10000000000000009</v>
      </c>
    </row>
    <row r="230" spans="1:11" x14ac:dyDescent="0.35">
      <c r="A230">
        <v>108</v>
      </c>
      <c r="B230" t="s">
        <v>15</v>
      </c>
      <c r="C230" t="s">
        <v>15</v>
      </c>
      <c r="D230">
        <v>2048</v>
      </c>
      <c r="E230">
        <v>72136.609991455407</v>
      </c>
      <c r="F230">
        <v>5968.17919861065</v>
      </c>
      <c r="G230">
        <v>45543.876805603701</v>
      </c>
      <c r="H230">
        <v>4518.9353441513504</v>
      </c>
      <c r="I230">
        <v>4203.5175706264299</v>
      </c>
      <c r="J230">
        <v>417.07964828606299</v>
      </c>
      <c r="K230" s="1">
        <f t="shared" si="2"/>
        <v>0.10000000000000009</v>
      </c>
    </row>
    <row r="231" spans="1:11" x14ac:dyDescent="0.35">
      <c r="A231">
        <v>108</v>
      </c>
      <c r="B231" t="s">
        <v>15</v>
      </c>
      <c r="C231" t="s">
        <v>15</v>
      </c>
      <c r="D231">
        <v>2049</v>
      </c>
      <c r="E231">
        <v>72081.393350508399</v>
      </c>
      <c r="F231">
        <v>2598.08336695858</v>
      </c>
      <c r="G231">
        <v>45560.751432044999</v>
      </c>
      <c r="H231">
        <v>1989.77501144349</v>
      </c>
      <c r="I231">
        <v>3822.7954828342699</v>
      </c>
      <c r="J231">
        <v>166.95297348086899</v>
      </c>
      <c r="K231" s="1">
        <f t="shared" si="2"/>
        <v>0.10000000000000009</v>
      </c>
    </row>
    <row r="232" spans="1:11" x14ac:dyDescent="0.35">
      <c r="A232">
        <v>108</v>
      </c>
      <c r="B232" t="s">
        <v>15</v>
      </c>
      <c r="C232" t="s">
        <v>15</v>
      </c>
      <c r="D232">
        <v>2050</v>
      </c>
      <c r="E232">
        <v>72026.176709561405</v>
      </c>
      <c r="F232">
        <v>0</v>
      </c>
      <c r="G232">
        <v>45577.546802874502</v>
      </c>
      <c r="H232">
        <v>0</v>
      </c>
      <c r="I232">
        <v>3476.54973275467</v>
      </c>
      <c r="J232">
        <v>0</v>
      </c>
      <c r="K232" s="1">
        <f t="shared" si="2"/>
        <v>0.10000000000000009</v>
      </c>
    </row>
    <row r="233" spans="1:11" x14ac:dyDescent="0.35">
      <c r="A233">
        <v>108</v>
      </c>
      <c r="B233" t="s">
        <v>15</v>
      </c>
      <c r="C233" t="s">
        <v>15</v>
      </c>
      <c r="D233">
        <v>2051</v>
      </c>
      <c r="E233" t="s">
        <v>12</v>
      </c>
      <c r="F233" t="s">
        <v>12</v>
      </c>
      <c r="G233">
        <v>46944.873206960699</v>
      </c>
      <c r="H233">
        <v>0</v>
      </c>
      <c r="I233">
        <v>670641.04581372498</v>
      </c>
      <c r="J233">
        <v>0</v>
      </c>
      <c r="K233" s="1">
        <f t="shared" si="2"/>
        <v>-9.0603032986147358E-2</v>
      </c>
    </row>
    <row r="234" spans="1:11" x14ac:dyDescent="0.35">
      <c r="A234">
        <v>109</v>
      </c>
      <c r="B234" t="s">
        <v>15</v>
      </c>
      <c r="C234" t="s">
        <v>15</v>
      </c>
      <c r="D234">
        <v>2023</v>
      </c>
      <c r="E234">
        <v>3704885.0690000001</v>
      </c>
      <c r="F234">
        <v>3704885.0690000001</v>
      </c>
      <c r="G234">
        <v>32917605.600864399</v>
      </c>
      <c r="H234">
        <v>32917605.600864399</v>
      </c>
      <c r="I234">
        <v>32917605.600864399</v>
      </c>
      <c r="J234">
        <v>32917605.600864399</v>
      </c>
      <c r="K234" s="1" t="e">
        <f t="shared" si="2"/>
        <v>#DIV/0!</v>
      </c>
    </row>
    <row r="235" spans="1:11" x14ac:dyDescent="0.35">
      <c r="A235">
        <v>109</v>
      </c>
      <c r="B235" t="s">
        <v>15</v>
      </c>
      <c r="C235" t="s">
        <v>15</v>
      </c>
      <c r="D235">
        <v>2024</v>
      </c>
      <c r="E235">
        <v>3670740.3590000002</v>
      </c>
      <c r="F235">
        <v>3670740.3590000002</v>
      </c>
      <c r="G235">
        <v>32544287.9162989</v>
      </c>
      <c r="H235">
        <v>32544287.9162989</v>
      </c>
      <c r="I235">
        <v>29585716.287544399</v>
      </c>
      <c r="J235">
        <v>29585716.287544399</v>
      </c>
      <c r="K235" s="1">
        <f t="shared" si="2"/>
        <v>0.10000000000000209</v>
      </c>
    </row>
    <row r="236" spans="1:11" x14ac:dyDescent="0.35">
      <c r="A236">
        <v>109</v>
      </c>
      <c r="B236" t="s">
        <v>15</v>
      </c>
      <c r="C236" t="s">
        <v>15</v>
      </c>
      <c r="D236">
        <v>2025</v>
      </c>
      <c r="E236">
        <v>3636910.3309999998</v>
      </c>
      <c r="F236">
        <v>3636910.3309999998</v>
      </c>
      <c r="G236">
        <v>32175055.394879699</v>
      </c>
      <c r="H236">
        <v>32175055.394879699</v>
      </c>
      <c r="I236">
        <v>26590954.871801399</v>
      </c>
      <c r="J236">
        <v>26590954.871801399</v>
      </c>
      <c r="K236" s="1">
        <f t="shared" si="2"/>
        <v>0.10000000000000009</v>
      </c>
    </row>
    <row r="237" spans="1:11" x14ac:dyDescent="0.35">
      <c r="A237">
        <v>109</v>
      </c>
      <c r="B237" t="s">
        <v>15</v>
      </c>
      <c r="C237" t="s">
        <v>15</v>
      </c>
      <c r="D237">
        <v>2026</v>
      </c>
      <c r="E237">
        <v>3603392.085</v>
      </c>
      <c r="F237">
        <v>3603392.085</v>
      </c>
      <c r="G237">
        <v>31972588.7802031</v>
      </c>
      <c r="H237">
        <v>31972588.7802031</v>
      </c>
      <c r="I237">
        <v>24021479.173706301</v>
      </c>
      <c r="J237">
        <v>24021479.173706301</v>
      </c>
      <c r="K237" s="1">
        <f t="shared" si="2"/>
        <v>0.10000000000000009</v>
      </c>
    </row>
    <row r="238" spans="1:11" x14ac:dyDescent="0.35">
      <c r="A238">
        <v>109</v>
      </c>
      <c r="B238" t="s">
        <v>15</v>
      </c>
      <c r="C238" t="s">
        <v>15</v>
      </c>
      <c r="D238">
        <v>2027</v>
      </c>
      <c r="E238">
        <v>3570182.7480000001</v>
      </c>
      <c r="F238">
        <v>3570182.7480000001</v>
      </c>
      <c r="G238">
        <v>31771121.2317736</v>
      </c>
      <c r="H238">
        <v>31771121.2317736</v>
      </c>
      <c r="I238">
        <v>21700103.293336298</v>
      </c>
      <c r="J238">
        <v>21700103.293336298</v>
      </c>
      <c r="K238" s="1">
        <f t="shared" si="2"/>
        <v>9.9999999999999423E-2</v>
      </c>
    </row>
    <row r="239" spans="1:11" x14ac:dyDescent="0.35">
      <c r="A239">
        <v>109</v>
      </c>
      <c r="B239" t="s">
        <v>15</v>
      </c>
      <c r="C239" t="s">
        <v>15</v>
      </c>
      <c r="D239">
        <v>2028</v>
      </c>
      <c r="E239">
        <v>3537279.4730000002</v>
      </c>
      <c r="F239">
        <v>3537279.4730000002</v>
      </c>
      <c r="G239">
        <v>31570651.5363358</v>
      </c>
      <c r="H239">
        <v>31570651.5363358</v>
      </c>
      <c r="I239">
        <v>19602890.721781101</v>
      </c>
      <c r="J239">
        <v>19602890.721781101</v>
      </c>
      <c r="K239" s="1">
        <f t="shared" si="2"/>
        <v>0.10000000000000075</v>
      </c>
    </row>
    <row r="240" spans="1:11" x14ac:dyDescent="0.35">
      <c r="A240">
        <v>109</v>
      </c>
      <c r="B240" t="s">
        <v>15</v>
      </c>
      <c r="C240" t="s">
        <v>15</v>
      </c>
      <c r="D240">
        <v>2029</v>
      </c>
      <c r="E240">
        <v>3504679.4380000001</v>
      </c>
      <c r="F240">
        <v>3504679.4380000001</v>
      </c>
      <c r="G240">
        <v>31371178.391235299</v>
      </c>
      <c r="H240">
        <v>31371178.391235299</v>
      </c>
      <c r="I240">
        <v>17708212.3569187</v>
      </c>
      <c r="J240">
        <v>17708212.3569187</v>
      </c>
      <c r="K240" s="1">
        <f t="shared" si="2"/>
        <v>0.10000000000000031</v>
      </c>
    </row>
    <row r="241" spans="1:11" x14ac:dyDescent="0.35">
      <c r="A241">
        <v>109</v>
      </c>
      <c r="B241" t="s">
        <v>15</v>
      </c>
      <c r="C241" t="s">
        <v>15</v>
      </c>
      <c r="D241">
        <v>2030</v>
      </c>
      <c r="E241">
        <v>3523525.07791817</v>
      </c>
      <c r="F241">
        <v>3347567.9476506598</v>
      </c>
      <c r="G241">
        <v>31631848.074368101</v>
      </c>
      <c r="H241">
        <v>30052222.8158153</v>
      </c>
      <c r="I241">
        <v>16232139.6340023</v>
      </c>
      <c r="J241">
        <v>15421542.108813699</v>
      </c>
      <c r="K241" s="1">
        <f t="shared" si="2"/>
        <v>0.10000000000000031</v>
      </c>
    </row>
    <row r="242" spans="1:11" x14ac:dyDescent="0.35">
      <c r="A242">
        <v>109</v>
      </c>
      <c r="B242" t="s">
        <v>15</v>
      </c>
      <c r="C242" t="s">
        <v>15</v>
      </c>
      <c r="D242">
        <v>2031</v>
      </c>
      <c r="E242">
        <v>3532951.79227567</v>
      </c>
      <c r="F242">
        <v>3190456.4573013298</v>
      </c>
      <c r="G242">
        <v>31875944.848330598</v>
      </c>
      <c r="H242">
        <v>29056158.207088798</v>
      </c>
      <c r="I242">
        <v>14870363.522904599</v>
      </c>
      <c r="J242">
        <v>13554912.2441485</v>
      </c>
      <c r="K242" s="1">
        <f t="shared" si="2"/>
        <v>0.10000000000000053</v>
      </c>
    </row>
    <row r="243" spans="1:11" x14ac:dyDescent="0.35">
      <c r="A243">
        <v>109</v>
      </c>
      <c r="B243" t="s">
        <v>15</v>
      </c>
      <c r="C243" t="s">
        <v>15</v>
      </c>
      <c r="D243">
        <v>2032</v>
      </c>
      <c r="E243">
        <v>3542378.5066331802</v>
      </c>
      <c r="F243">
        <v>3033344.96695199</v>
      </c>
      <c r="G243">
        <v>32120892.626589499</v>
      </c>
      <c r="H243">
        <v>28019282.255298499</v>
      </c>
      <c r="I243">
        <v>13622394.0629349</v>
      </c>
      <c r="J243">
        <v>11882910.872978499</v>
      </c>
      <c r="K243" s="1">
        <f t="shared" si="2"/>
        <v>0.10000000000000009</v>
      </c>
    </row>
    <row r="244" spans="1:11" x14ac:dyDescent="0.35">
      <c r="A244">
        <v>109</v>
      </c>
      <c r="B244" t="s">
        <v>15</v>
      </c>
      <c r="C244" t="s">
        <v>15</v>
      </c>
      <c r="D244">
        <v>2033</v>
      </c>
      <c r="E244">
        <v>3551805.22384268</v>
      </c>
      <c r="F244">
        <v>2876233.4766026498</v>
      </c>
      <c r="G244">
        <v>32366691.435134299</v>
      </c>
      <c r="H244">
        <v>26941594.960444398</v>
      </c>
      <c r="I244">
        <v>12478760.6838523</v>
      </c>
      <c r="J244">
        <v>10387151.1435278</v>
      </c>
      <c r="K244" s="1">
        <f t="shared" si="2"/>
        <v>0.10000000000000031</v>
      </c>
    </row>
    <row r="245" spans="1:11" x14ac:dyDescent="0.35">
      <c r="A245">
        <v>109</v>
      </c>
      <c r="B245" t="s">
        <v>15</v>
      </c>
      <c r="C245" t="s">
        <v>15</v>
      </c>
      <c r="D245">
        <v>2034</v>
      </c>
      <c r="E245">
        <v>3561231.93820018</v>
      </c>
      <c r="F245">
        <v>2719121.9862533198</v>
      </c>
      <c r="G245">
        <v>32613341.222114801</v>
      </c>
      <c r="H245">
        <v>25823096.3225266</v>
      </c>
      <c r="I245">
        <v>11430777.1400562</v>
      </c>
      <c r="J245">
        <v>9050837.7267659307</v>
      </c>
      <c r="K245" s="1">
        <f t="shared" si="2"/>
        <v>0.10000000000000053</v>
      </c>
    </row>
    <row r="246" spans="1:11" x14ac:dyDescent="0.35">
      <c r="A246">
        <v>109</v>
      </c>
      <c r="B246" t="s">
        <v>15</v>
      </c>
      <c r="C246" t="s">
        <v>15</v>
      </c>
      <c r="D246">
        <v>2035</v>
      </c>
      <c r="E246">
        <v>3570658.6525576799</v>
      </c>
      <c r="F246">
        <v>2562010.49590398</v>
      </c>
      <c r="G246">
        <v>32860842.0133917</v>
      </c>
      <c r="H246">
        <v>24663786.3415449</v>
      </c>
      <c r="I246">
        <v>10470476.9613778</v>
      </c>
      <c r="J246">
        <v>7858642.4098399701</v>
      </c>
      <c r="K246" s="1">
        <f t="shared" si="2"/>
        <v>0.10000000000000031</v>
      </c>
    </row>
    <row r="247" spans="1:11" x14ac:dyDescent="0.35">
      <c r="A247">
        <v>109</v>
      </c>
      <c r="B247" t="s">
        <v>15</v>
      </c>
      <c r="C247" t="s">
        <v>15</v>
      </c>
      <c r="D247">
        <v>2036</v>
      </c>
      <c r="E247">
        <v>3579121.9546350199</v>
      </c>
      <c r="F247">
        <v>2404899.0055546402</v>
      </c>
      <c r="G247">
        <v>33006095.890577599</v>
      </c>
      <c r="H247">
        <v>23463665.017499398</v>
      </c>
      <c r="I247">
        <v>9560690.2936738003</v>
      </c>
      <c r="J247">
        <v>6796587.9736433802</v>
      </c>
      <c r="K247" s="1">
        <f t="shared" si="2"/>
        <v>0.10000000000000009</v>
      </c>
    </row>
    <row r="248" spans="1:11" x14ac:dyDescent="0.35">
      <c r="A248">
        <v>109</v>
      </c>
      <c r="B248" t="s">
        <v>15</v>
      </c>
      <c r="C248" t="s">
        <v>15</v>
      </c>
      <c r="D248">
        <v>2037</v>
      </c>
      <c r="E248">
        <v>3587585.2567123598</v>
      </c>
      <c r="F248">
        <v>2247787.5152053102</v>
      </c>
      <c r="G248">
        <v>33151668.358925</v>
      </c>
      <c r="H248">
        <v>22222732.350390099</v>
      </c>
      <c r="I248">
        <v>8729870.4112948999</v>
      </c>
      <c r="J248">
        <v>5851939.9839365296</v>
      </c>
      <c r="K248" s="1">
        <f t="shared" si="2"/>
        <v>0.10000000000000009</v>
      </c>
    </row>
    <row r="249" spans="1:11" x14ac:dyDescent="0.35">
      <c r="A249">
        <v>109</v>
      </c>
      <c r="B249" t="s">
        <v>15</v>
      </c>
      <c r="C249" t="s">
        <v>15</v>
      </c>
      <c r="D249">
        <v>2038</v>
      </c>
      <c r="E249">
        <v>3596048.55878969</v>
      </c>
      <c r="F249">
        <v>2090676.0248559699</v>
      </c>
      <c r="G249">
        <v>33297559.418433901</v>
      </c>
      <c r="H249">
        <v>20940988.340217099</v>
      </c>
      <c r="I249">
        <v>7971170.9881703798</v>
      </c>
      <c r="J249">
        <v>5013106.1145803202</v>
      </c>
      <c r="K249" s="1">
        <f t="shared" si="2"/>
        <v>0.10000000000000009</v>
      </c>
    </row>
    <row r="250" spans="1:11" x14ac:dyDescent="0.35">
      <c r="A250">
        <v>109</v>
      </c>
      <c r="B250" t="s">
        <v>15</v>
      </c>
      <c r="C250" t="s">
        <v>15</v>
      </c>
      <c r="D250">
        <v>2039</v>
      </c>
      <c r="E250">
        <v>3604511.86086703</v>
      </c>
      <c r="F250">
        <v>1933564.5345066299</v>
      </c>
      <c r="G250">
        <v>33443769.069104198</v>
      </c>
      <c r="H250">
        <v>19618432.9869802</v>
      </c>
      <c r="I250">
        <v>7278338.5600744598</v>
      </c>
      <c r="J250">
        <v>4269542.6165134497</v>
      </c>
      <c r="K250" s="1">
        <f t="shared" si="2"/>
        <v>9.9999999999999867E-2</v>
      </c>
    </row>
    <row r="251" spans="1:11" x14ac:dyDescent="0.35">
      <c r="A251">
        <v>109</v>
      </c>
      <c r="B251" t="s">
        <v>15</v>
      </c>
      <c r="C251" t="s">
        <v>15</v>
      </c>
      <c r="D251">
        <v>2040</v>
      </c>
      <c r="E251">
        <v>3612975.1629443699</v>
      </c>
      <c r="F251">
        <v>1776453.0441572999</v>
      </c>
      <c r="G251">
        <v>33590297.310936101</v>
      </c>
      <c r="H251">
        <v>18255066.2906796</v>
      </c>
      <c r="I251">
        <v>6645661.2497392399</v>
      </c>
      <c r="J251">
        <v>3611667.5460295202</v>
      </c>
      <c r="K251" s="1">
        <f t="shared" si="2"/>
        <v>0.10000000000000009</v>
      </c>
    </row>
    <row r="252" spans="1:11" x14ac:dyDescent="0.35">
      <c r="A252">
        <v>109</v>
      </c>
      <c r="B252" t="s">
        <v>15</v>
      </c>
      <c r="C252" t="s">
        <v>15</v>
      </c>
      <c r="D252">
        <v>2041</v>
      </c>
      <c r="E252">
        <v>3615686.32590554</v>
      </c>
      <c r="F252">
        <v>1619341.5538079599</v>
      </c>
      <c r="G252">
        <v>33691923.004800402</v>
      </c>
      <c r="H252">
        <v>16850888.251315098</v>
      </c>
      <c r="I252">
        <v>6059788.5013578003</v>
      </c>
      <c r="J252">
        <v>3030780.3697769199</v>
      </c>
      <c r="K252" s="1">
        <f t="shared" si="2"/>
        <v>0.10000000000000009</v>
      </c>
    </row>
    <row r="253" spans="1:11" x14ac:dyDescent="0.35">
      <c r="A253">
        <v>109</v>
      </c>
      <c r="B253" t="s">
        <v>15</v>
      </c>
      <c r="C253" t="s">
        <v>15</v>
      </c>
      <c r="D253">
        <v>2042</v>
      </c>
      <c r="E253">
        <v>3618397.4917187002</v>
      </c>
      <c r="F253">
        <v>1462230.0634586201</v>
      </c>
      <c r="G253">
        <v>33793663.329354502</v>
      </c>
      <c r="H253">
        <v>15405898.868886899</v>
      </c>
      <c r="I253">
        <v>5525533.9936518697</v>
      </c>
      <c r="J253">
        <v>2518987.57092884</v>
      </c>
      <c r="K253" s="1">
        <f t="shared" si="2"/>
        <v>0.10000000000000009</v>
      </c>
    </row>
    <row r="254" spans="1:11" x14ac:dyDescent="0.35">
      <c r="A254">
        <v>109</v>
      </c>
      <c r="B254" t="s">
        <v>15</v>
      </c>
      <c r="C254" t="s">
        <v>15</v>
      </c>
      <c r="D254">
        <v>2043</v>
      </c>
      <c r="E254">
        <v>3621108.6546798702</v>
      </c>
      <c r="F254">
        <v>1305118.5731092901</v>
      </c>
      <c r="G254">
        <v>33895518.231386602</v>
      </c>
      <c r="H254">
        <v>13920098.1433949</v>
      </c>
      <c r="I254">
        <v>5038352.8036717996</v>
      </c>
      <c r="J254">
        <v>2069133.8904863601</v>
      </c>
      <c r="K254" s="1">
        <f t="shared" si="2"/>
        <v>0.10000000000000009</v>
      </c>
    </row>
    <row r="255" spans="1:11" x14ac:dyDescent="0.35">
      <c r="A255">
        <v>109</v>
      </c>
      <c r="B255" t="s">
        <v>15</v>
      </c>
      <c r="C255" t="s">
        <v>15</v>
      </c>
      <c r="D255">
        <v>2044</v>
      </c>
      <c r="E255">
        <v>3623819.8204930299</v>
      </c>
      <c r="F255">
        <v>1148007.0827599501</v>
      </c>
      <c r="G255">
        <v>33997487.7588135</v>
      </c>
      <c r="H255">
        <v>12393486.074839</v>
      </c>
      <c r="I255">
        <v>4594099.9310694896</v>
      </c>
      <c r="J255">
        <v>1674738.84911889</v>
      </c>
      <c r="K255" s="1">
        <f t="shared" si="2"/>
        <v>0.10000000000000009</v>
      </c>
    </row>
    <row r="256" spans="1:11" x14ac:dyDescent="0.35">
      <c r="A256">
        <v>109</v>
      </c>
      <c r="B256" t="s">
        <v>15</v>
      </c>
      <c r="C256" t="s">
        <v>15</v>
      </c>
      <c r="D256">
        <v>2045</v>
      </c>
      <c r="E256">
        <v>3626530.9834542</v>
      </c>
      <c r="F256">
        <v>990895.59241061402</v>
      </c>
      <c r="G256">
        <v>34099571.869009301</v>
      </c>
      <c r="H256">
        <v>10826062.6632194</v>
      </c>
      <c r="I256">
        <v>4188995.10469385</v>
      </c>
      <c r="J256">
        <v>1329938.20783277</v>
      </c>
      <c r="K256" s="1">
        <f t="shared" si="2"/>
        <v>0.10000000000000009</v>
      </c>
    </row>
    <row r="257" spans="1:11" x14ac:dyDescent="0.35">
      <c r="A257">
        <v>109</v>
      </c>
      <c r="B257" t="s">
        <v>15</v>
      </c>
      <c r="C257" t="s">
        <v>15</v>
      </c>
      <c r="D257">
        <v>2046</v>
      </c>
      <c r="E257">
        <v>3623608.5361884199</v>
      </c>
      <c r="F257">
        <v>833784.10206127795</v>
      </c>
      <c r="G257">
        <v>34110959.372390904</v>
      </c>
      <c r="H257">
        <v>9217827.9085360095</v>
      </c>
      <c r="I257">
        <v>3809449.1033030399</v>
      </c>
      <c r="J257">
        <v>1029430.0396897</v>
      </c>
      <c r="K257" s="1">
        <f t="shared" si="2"/>
        <v>0.10000000000000009</v>
      </c>
    </row>
    <row r="258" spans="1:11" x14ac:dyDescent="0.35">
      <c r="A258">
        <v>109</v>
      </c>
      <c r="B258" t="s">
        <v>15</v>
      </c>
      <c r="C258" t="s">
        <v>15</v>
      </c>
      <c r="D258">
        <v>2047</v>
      </c>
      <c r="E258">
        <v>3620686.0889226301</v>
      </c>
      <c r="F258">
        <v>676672.61171194096</v>
      </c>
      <c r="G258">
        <v>34122284.178205997</v>
      </c>
      <c r="H258">
        <v>7568781.8107888103</v>
      </c>
      <c r="I258">
        <v>3464285.3061398598</v>
      </c>
      <c r="J258">
        <v>768425.09943227505</v>
      </c>
      <c r="K258" s="1">
        <f t="shared" si="2"/>
        <v>0.10000000000000009</v>
      </c>
    </row>
    <row r="259" spans="1:11" x14ac:dyDescent="0.35">
      <c r="A259">
        <v>109</v>
      </c>
      <c r="B259" t="s">
        <v>15</v>
      </c>
      <c r="C259" t="s">
        <v>15</v>
      </c>
      <c r="D259">
        <v>2048</v>
      </c>
      <c r="E259">
        <v>3617763.6445088498</v>
      </c>
      <c r="F259">
        <v>519561.12136260403</v>
      </c>
      <c r="G259">
        <v>34133546.324188903</v>
      </c>
      <c r="H259">
        <v>5878924.3699778002</v>
      </c>
      <c r="I259">
        <v>3150389.7293140702</v>
      </c>
      <c r="J259">
        <v>542601.19293456897</v>
      </c>
      <c r="K259" s="1">
        <f t="shared" si="2"/>
        <v>0.10000000000000009</v>
      </c>
    </row>
    <row r="260" spans="1:11" x14ac:dyDescent="0.35">
      <c r="A260">
        <v>109</v>
      </c>
      <c r="B260" t="s">
        <v>15</v>
      </c>
      <c r="C260" t="s">
        <v>15</v>
      </c>
      <c r="D260">
        <v>2049</v>
      </c>
      <c r="E260">
        <v>3614841.19724306</v>
      </c>
      <c r="F260">
        <v>362449.63101326802</v>
      </c>
      <c r="G260">
        <v>34144745.745736003</v>
      </c>
      <c r="H260">
        <v>4148255.58610301</v>
      </c>
      <c r="I260">
        <v>2864930.35554979</v>
      </c>
      <c r="J260">
        <v>348061.26364814403</v>
      </c>
      <c r="K260" s="1">
        <f t="shared" ref="K260:K323" si="3">(G260/I260)^(1/(D260-$D$2))-1</f>
        <v>0.10000000000000009</v>
      </c>
    </row>
    <row r="261" spans="1:11" x14ac:dyDescent="0.35">
      <c r="A261">
        <v>109</v>
      </c>
      <c r="B261" t="s">
        <v>15</v>
      </c>
      <c r="C261" t="s">
        <v>15</v>
      </c>
      <c r="D261">
        <v>2050</v>
      </c>
      <c r="E261">
        <v>3611918.7499772799</v>
      </c>
      <c r="F261">
        <v>205338.140663931</v>
      </c>
      <c r="G261">
        <v>34155882.480533697</v>
      </c>
      <c r="H261">
        <v>2376775.4591644201</v>
      </c>
      <c r="I261">
        <v>2605331.6257515298</v>
      </c>
      <c r="J261">
        <v>181294.92846804101</v>
      </c>
      <c r="K261" s="1">
        <f t="shared" si="3"/>
        <v>0.10000000000000009</v>
      </c>
    </row>
    <row r="262" spans="1:11" x14ac:dyDescent="0.35">
      <c r="A262">
        <v>109</v>
      </c>
      <c r="B262" t="s">
        <v>15</v>
      </c>
      <c r="C262" t="s">
        <v>15</v>
      </c>
      <c r="D262">
        <v>2051</v>
      </c>
      <c r="E262" t="s">
        <v>12</v>
      </c>
      <c r="F262" t="s">
        <v>12</v>
      </c>
      <c r="G262">
        <v>35180558.954949699</v>
      </c>
      <c r="H262">
        <v>2448078.7229393502</v>
      </c>
      <c r="I262">
        <v>502579413.64213902</v>
      </c>
      <c r="J262">
        <v>34972553.184847899</v>
      </c>
      <c r="K262" s="1">
        <f t="shared" si="3"/>
        <v>-9.0603032986147247E-2</v>
      </c>
    </row>
    <row r="263" spans="1:11" x14ac:dyDescent="0.35">
      <c r="A263">
        <v>110</v>
      </c>
      <c r="B263" t="s">
        <v>15</v>
      </c>
      <c r="C263" t="s">
        <v>15</v>
      </c>
      <c r="D263">
        <v>2023</v>
      </c>
      <c r="E263">
        <v>70000</v>
      </c>
      <c r="F263">
        <v>70000</v>
      </c>
      <c r="G263">
        <v>208091.61796500001</v>
      </c>
      <c r="H263">
        <v>208091.61796500001</v>
      </c>
      <c r="I263">
        <v>208091.61796500001</v>
      </c>
      <c r="J263">
        <v>208091.61796500001</v>
      </c>
      <c r="K263" s="1" t="e">
        <f t="shared" si="3"/>
        <v>#DIV/0!</v>
      </c>
    </row>
    <row r="264" spans="1:11" x14ac:dyDescent="0.35">
      <c r="A264">
        <v>110</v>
      </c>
      <c r="B264" t="s">
        <v>15</v>
      </c>
      <c r="C264" t="s">
        <v>15</v>
      </c>
      <c r="D264">
        <v>2024</v>
      </c>
      <c r="E264">
        <v>70000</v>
      </c>
      <c r="F264">
        <v>70000</v>
      </c>
      <c r="G264">
        <v>207645.343395</v>
      </c>
      <c r="H264">
        <v>207645.343395</v>
      </c>
      <c r="I264">
        <v>188768.49399545501</v>
      </c>
      <c r="J264">
        <v>188768.49399545501</v>
      </c>
      <c r="K264" s="1">
        <f t="shared" si="3"/>
        <v>9.9999999999997424E-2</v>
      </c>
    </row>
    <row r="265" spans="1:11" x14ac:dyDescent="0.35">
      <c r="A265">
        <v>110</v>
      </c>
      <c r="B265" t="s">
        <v>15</v>
      </c>
      <c r="C265" t="s">
        <v>15</v>
      </c>
      <c r="D265">
        <v>2025</v>
      </c>
      <c r="E265">
        <v>70000</v>
      </c>
      <c r="F265">
        <v>70000</v>
      </c>
      <c r="G265">
        <v>207199.06882499999</v>
      </c>
      <c r="H265">
        <v>207199.06882499999</v>
      </c>
      <c r="I265">
        <v>171238.899855372</v>
      </c>
      <c r="J265">
        <v>171238.899855372</v>
      </c>
      <c r="K265" s="1">
        <f t="shared" si="3"/>
        <v>9.9999999999999645E-2</v>
      </c>
    </row>
    <row r="266" spans="1:11" x14ac:dyDescent="0.35">
      <c r="A266">
        <v>110</v>
      </c>
      <c r="B266" t="s">
        <v>15</v>
      </c>
      <c r="C266" t="s">
        <v>15</v>
      </c>
      <c r="D266">
        <v>2026</v>
      </c>
      <c r="E266">
        <v>70000</v>
      </c>
      <c r="F266">
        <v>70000</v>
      </c>
      <c r="G266">
        <v>207810.44448500001</v>
      </c>
      <c r="H266">
        <v>207810.44448500001</v>
      </c>
      <c r="I266">
        <v>156131.06272351599</v>
      </c>
      <c r="J266">
        <v>156131.06272351599</v>
      </c>
      <c r="K266" s="1">
        <f t="shared" si="3"/>
        <v>0.10000000000000031</v>
      </c>
    </row>
    <row r="267" spans="1:11" x14ac:dyDescent="0.35">
      <c r="A267">
        <v>110</v>
      </c>
      <c r="B267" t="s">
        <v>15</v>
      </c>
      <c r="C267" t="s">
        <v>15</v>
      </c>
      <c r="D267">
        <v>2027</v>
      </c>
      <c r="E267">
        <v>70000</v>
      </c>
      <c r="F267">
        <v>70000</v>
      </c>
      <c r="G267">
        <v>208421.82014500001</v>
      </c>
      <c r="H267">
        <v>208421.82014500001</v>
      </c>
      <c r="I267">
        <v>142354.90755071401</v>
      </c>
      <c r="J267">
        <v>142354.90755071401</v>
      </c>
      <c r="K267" s="1">
        <f t="shared" si="3"/>
        <v>9.9999999999999423E-2</v>
      </c>
    </row>
    <row r="268" spans="1:11" x14ac:dyDescent="0.35">
      <c r="A268">
        <v>110</v>
      </c>
      <c r="B268" t="s">
        <v>15</v>
      </c>
      <c r="C268" t="s">
        <v>15</v>
      </c>
      <c r="D268">
        <v>2028</v>
      </c>
      <c r="E268">
        <v>70000</v>
      </c>
      <c r="F268">
        <v>70000</v>
      </c>
      <c r="G268">
        <v>209033.19584</v>
      </c>
      <c r="H268">
        <v>209033.19584</v>
      </c>
      <c r="I268">
        <v>129793.16852425601</v>
      </c>
      <c r="J268">
        <v>129793.16852425601</v>
      </c>
      <c r="K268" s="1">
        <f t="shared" si="3"/>
        <v>0.10000000000000053</v>
      </c>
    </row>
    <row r="269" spans="1:11" x14ac:dyDescent="0.35">
      <c r="A269">
        <v>110</v>
      </c>
      <c r="B269" t="s">
        <v>15</v>
      </c>
      <c r="C269" t="s">
        <v>15</v>
      </c>
      <c r="D269">
        <v>2029</v>
      </c>
      <c r="E269">
        <v>70000</v>
      </c>
      <c r="F269">
        <v>70000</v>
      </c>
      <c r="G269">
        <v>209644.57149999999</v>
      </c>
      <c r="H269">
        <v>209644.57149999999</v>
      </c>
      <c r="I269">
        <v>118338.895189045</v>
      </c>
      <c r="J269">
        <v>118338.895189045</v>
      </c>
      <c r="K269" s="1">
        <f t="shared" si="3"/>
        <v>0.10000000000000031</v>
      </c>
    </row>
    <row r="270" spans="1:11" x14ac:dyDescent="0.35">
      <c r="A270">
        <v>110</v>
      </c>
      <c r="B270" t="s">
        <v>15</v>
      </c>
      <c r="C270" t="s">
        <v>15</v>
      </c>
      <c r="D270">
        <v>2030</v>
      </c>
      <c r="E270">
        <v>70356.069019606104</v>
      </c>
      <c r="F270">
        <v>66629.904168347901</v>
      </c>
      <c r="G270">
        <v>211325.456145309</v>
      </c>
      <c r="H270">
        <v>200133.337287086</v>
      </c>
      <c r="I270">
        <v>108443.373409772</v>
      </c>
      <c r="J270">
        <v>102700.046757472</v>
      </c>
      <c r="K270" s="1">
        <f t="shared" si="3"/>
        <v>0.10000000000000075</v>
      </c>
    </row>
    <row r="271" spans="1:11" x14ac:dyDescent="0.35">
      <c r="A271">
        <v>110</v>
      </c>
      <c r="B271" t="s">
        <v>15</v>
      </c>
      <c r="C271" t="s">
        <v>15</v>
      </c>
      <c r="D271">
        <v>2031</v>
      </c>
      <c r="E271">
        <v>70534.1771100693</v>
      </c>
      <c r="F271">
        <v>63259.808336695904</v>
      </c>
      <c r="G271">
        <v>212925.66330232599</v>
      </c>
      <c r="H271">
        <v>192759.72187379701</v>
      </c>
      <c r="I271">
        <v>99331.393366587698</v>
      </c>
      <c r="J271">
        <v>89923.832861301897</v>
      </c>
      <c r="K271" s="1">
        <f t="shared" si="3"/>
        <v>0.10000000000000031</v>
      </c>
    </row>
    <row r="272" spans="1:11" x14ac:dyDescent="0.35">
      <c r="A272">
        <v>110</v>
      </c>
      <c r="B272" t="s">
        <v>15</v>
      </c>
      <c r="C272" t="s">
        <v>15</v>
      </c>
      <c r="D272">
        <v>2032</v>
      </c>
      <c r="E272">
        <v>70712.285200532497</v>
      </c>
      <c r="F272">
        <v>59889.712505043797</v>
      </c>
      <c r="G272">
        <v>214531.25015989199</v>
      </c>
      <c r="H272">
        <v>185093.20722438299</v>
      </c>
      <c r="I272">
        <v>90982.192259282107</v>
      </c>
      <c r="J272">
        <v>78497.588360785696</v>
      </c>
      <c r="K272" s="1">
        <f t="shared" si="3"/>
        <v>9.9999999999999867E-2</v>
      </c>
    </row>
    <row r="273" spans="1:11" x14ac:dyDescent="0.35">
      <c r="A273">
        <v>110</v>
      </c>
      <c r="B273" t="s">
        <v>15</v>
      </c>
      <c r="C273" t="s">
        <v>15</v>
      </c>
      <c r="D273">
        <v>2033</v>
      </c>
      <c r="E273">
        <v>70890.393344881202</v>
      </c>
      <c r="F273">
        <v>56519.616673391698</v>
      </c>
      <c r="G273">
        <v>216142.21688230301</v>
      </c>
      <c r="H273">
        <v>177133.793338844</v>
      </c>
      <c r="I273">
        <v>83332.181281394398</v>
      </c>
      <c r="J273">
        <v>68292.745352988801</v>
      </c>
      <c r="K273" s="1">
        <f t="shared" si="3"/>
        <v>9.9999999999999867E-2</v>
      </c>
    </row>
    <row r="274" spans="1:11" x14ac:dyDescent="0.35">
      <c r="A274">
        <v>110</v>
      </c>
      <c r="B274" t="s">
        <v>15</v>
      </c>
      <c r="C274" t="s">
        <v>15</v>
      </c>
      <c r="D274">
        <v>2034</v>
      </c>
      <c r="E274">
        <v>71068.501435344398</v>
      </c>
      <c r="F274">
        <v>53149.520841739599</v>
      </c>
      <c r="G274">
        <v>217758.563141783</v>
      </c>
      <c r="H274">
        <v>168881.48021718001</v>
      </c>
      <c r="I274">
        <v>76323.047941028402</v>
      </c>
      <c r="J274">
        <v>59191.928551509103</v>
      </c>
      <c r="K274" s="1">
        <f t="shared" si="3"/>
        <v>0.10000000000000009</v>
      </c>
    </row>
    <row r="275" spans="1:11" x14ac:dyDescent="0.35">
      <c r="A275">
        <v>110</v>
      </c>
      <c r="B275" t="s">
        <v>15</v>
      </c>
      <c r="C275" t="s">
        <v>15</v>
      </c>
      <c r="D275">
        <v>2035</v>
      </c>
      <c r="E275">
        <v>71246.609525807595</v>
      </c>
      <c r="F275">
        <v>49779.425010087602</v>
      </c>
      <c r="G275">
        <v>219380.289101812</v>
      </c>
      <c r="H275">
        <v>160336.26785939099</v>
      </c>
      <c r="I275">
        <v>69901.320906044595</v>
      </c>
      <c r="J275">
        <v>51088.076136664597</v>
      </c>
      <c r="K275" s="1">
        <f t="shared" si="3"/>
        <v>0.10000000000000031</v>
      </c>
    </row>
    <row r="276" spans="1:11" x14ac:dyDescent="0.35">
      <c r="A276">
        <v>110</v>
      </c>
      <c r="B276" t="s">
        <v>15</v>
      </c>
      <c r="C276" t="s">
        <v>15</v>
      </c>
      <c r="D276">
        <v>2036</v>
      </c>
      <c r="E276">
        <v>71406.514930261503</v>
      </c>
      <c r="F276">
        <v>46409.329178435502</v>
      </c>
      <c r="G276">
        <v>220322.345968757</v>
      </c>
      <c r="H276">
        <v>151498.15626547701</v>
      </c>
      <c r="I276">
        <v>63819.535687171898</v>
      </c>
      <c r="J276">
        <v>43883.619465891199</v>
      </c>
      <c r="K276" s="1">
        <f t="shared" si="3"/>
        <v>0.10000000000000009</v>
      </c>
    </row>
    <row r="277" spans="1:11" x14ac:dyDescent="0.35">
      <c r="A277">
        <v>110</v>
      </c>
      <c r="B277" t="s">
        <v>15</v>
      </c>
      <c r="C277" t="s">
        <v>15</v>
      </c>
      <c r="D277">
        <v>2037</v>
      </c>
      <c r="E277">
        <v>71566.420334715396</v>
      </c>
      <c r="F277">
        <v>43039.233346783403</v>
      </c>
      <c r="G277">
        <v>221266.416838515</v>
      </c>
      <c r="H277">
        <v>142367.145435438</v>
      </c>
      <c r="I277">
        <v>58266.363081898096</v>
      </c>
      <c r="J277">
        <v>37489.718979489997</v>
      </c>
      <c r="K277" s="1">
        <f t="shared" si="3"/>
        <v>0.10000000000000009</v>
      </c>
    </row>
    <row r="278" spans="1:11" x14ac:dyDescent="0.35">
      <c r="A278">
        <v>110</v>
      </c>
      <c r="B278" t="s">
        <v>15</v>
      </c>
      <c r="C278" t="s">
        <v>15</v>
      </c>
      <c r="D278">
        <v>2038</v>
      </c>
      <c r="E278">
        <v>71726.325739169202</v>
      </c>
      <c r="F278">
        <v>39669.137515131399</v>
      </c>
      <c r="G278">
        <v>222212.50171108599</v>
      </c>
      <c r="H278">
        <v>132943.23536927401</v>
      </c>
      <c r="I278">
        <v>53195.906180065504</v>
      </c>
      <c r="J278">
        <v>31825.553564817499</v>
      </c>
      <c r="K278" s="1">
        <f t="shared" si="3"/>
        <v>0.10000000000000031</v>
      </c>
    </row>
    <row r="279" spans="1:11" x14ac:dyDescent="0.35">
      <c r="A279">
        <v>110</v>
      </c>
      <c r="B279" t="s">
        <v>15</v>
      </c>
      <c r="C279" t="s">
        <v>15</v>
      </c>
      <c r="D279">
        <v>2039</v>
      </c>
      <c r="E279">
        <v>71886.231143623096</v>
      </c>
      <c r="F279">
        <v>36299.0416834793</v>
      </c>
      <c r="G279">
        <v>223160.60058646899</v>
      </c>
      <c r="H279">
        <v>123226.426066985</v>
      </c>
      <c r="I279">
        <v>48566.2486480437</v>
      </c>
      <c r="J279">
        <v>26817.660611466501</v>
      </c>
      <c r="K279" s="1">
        <f t="shared" si="3"/>
        <v>0.10000000000000009</v>
      </c>
    </row>
    <row r="280" spans="1:11" x14ac:dyDescent="0.35">
      <c r="A280">
        <v>110</v>
      </c>
      <c r="B280" t="s">
        <v>15</v>
      </c>
      <c r="C280" t="s">
        <v>15</v>
      </c>
      <c r="D280">
        <v>2040</v>
      </c>
      <c r="E280">
        <v>72046.136548077004</v>
      </c>
      <c r="F280">
        <v>32928.9458518272</v>
      </c>
      <c r="G280">
        <v>224110.71346466499</v>
      </c>
      <c r="H280">
        <v>113216.717528571</v>
      </c>
      <c r="I280">
        <v>44339.109902389602</v>
      </c>
      <c r="J280">
        <v>22399.323993400201</v>
      </c>
      <c r="K280" s="1">
        <f t="shared" si="3"/>
        <v>0.10000000000000009</v>
      </c>
    </row>
    <row r="281" spans="1:11" x14ac:dyDescent="0.35">
      <c r="A281">
        <v>110</v>
      </c>
      <c r="B281" t="s">
        <v>15</v>
      </c>
      <c r="C281" t="s">
        <v>15</v>
      </c>
      <c r="D281">
        <v>2041</v>
      </c>
      <c r="E281">
        <v>72097.361188989598</v>
      </c>
      <c r="F281">
        <v>29558.850020175101</v>
      </c>
      <c r="G281">
        <v>224779.899052419</v>
      </c>
      <c r="H281">
        <v>102914.109754032</v>
      </c>
      <c r="I281">
        <v>40428.640639483303</v>
      </c>
      <c r="J281">
        <v>18510.0072449441</v>
      </c>
      <c r="K281" s="1">
        <f t="shared" si="3"/>
        <v>0.10000000000000009</v>
      </c>
    </row>
    <row r="282" spans="1:11" x14ac:dyDescent="0.35">
      <c r="A282">
        <v>110</v>
      </c>
      <c r="B282" t="s">
        <v>15</v>
      </c>
      <c r="C282" t="s">
        <v>15</v>
      </c>
      <c r="D282">
        <v>2042</v>
      </c>
      <c r="E282">
        <v>72148.5858837876</v>
      </c>
      <c r="F282">
        <v>26188.7541885231</v>
      </c>
      <c r="G282">
        <v>225449.809288435</v>
      </c>
      <c r="H282">
        <v>92318.602743367301</v>
      </c>
      <c r="I282">
        <v>36862.845348982701</v>
      </c>
      <c r="J282">
        <v>15094.829250483101</v>
      </c>
      <c r="K282" s="1">
        <f t="shared" si="3"/>
        <v>0.10000000000000009</v>
      </c>
    </row>
    <row r="283" spans="1:11" x14ac:dyDescent="0.35">
      <c r="A283">
        <v>110</v>
      </c>
      <c r="B283" t="s">
        <v>15</v>
      </c>
      <c r="C283" t="s">
        <v>15</v>
      </c>
      <c r="D283">
        <v>2043</v>
      </c>
      <c r="E283">
        <v>72199.810524700195</v>
      </c>
      <c r="F283">
        <v>22818.658356871001</v>
      </c>
      <c r="G283">
        <v>226120.44383633201</v>
      </c>
      <c r="H283">
        <v>81430.196496578094</v>
      </c>
      <c r="I283">
        <v>33611.3631422619</v>
      </c>
      <c r="J283">
        <v>12104.079837970299</v>
      </c>
      <c r="K283" s="1">
        <f t="shared" si="3"/>
        <v>0.10000000000000009</v>
      </c>
    </row>
    <row r="284" spans="1:11" x14ac:dyDescent="0.35">
      <c r="A284">
        <v>110</v>
      </c>
      <c r="B284" t="s">
        <v>15</v>
      </c>
      <c r="C284" t="s">
        <v>15</v>
      </c>
      <c r="D284">
        <v>2044</v>
      </c>
      <c r="E284">
        <v>72251.035219498299</v>
      </c>
      <c r="F284">
        <v>19448.562525218898</v>
      </c>
      <c r="G284">
        <v>226791.80299712601</v>
      </c>
      <c r="H284">
        <v>70248.891013663902</v>
      </c>
      <c r="I284">
        <v>30646.5058214815</v>
      </c>
      <c r="J284">
        <v>9492.7727499487701</v>
      </c>
      <c r="K284" s="1">
        <f t="shared" si="3"/>
        <v>0.10000000000000009</v>
      </c>
    </row>
    <row r="285" spans="1:11" x14ac:dyDescent="0.35">
      <c r="A285">
        <v>110</v>
      </c>
      <c r="B285" t="s">
        <v>15</v>
      </c>
      <c r="C285" t="s">
        <v>15</v>
      </c>
      <c r="D285">
        <v>2045</v>
      </c>
      <c r="E285">
        <v>72302.259860410806</v>
      </c>
      <c r="F285">
        <v>16078.466693566899</v>
      </c>
      <c r="G285">
        <v>227463.886505139</v>
      </c>
      <c r="H285">
        <v>58774.686294624698</v>
      </c>
      <c r="I285">
        <v>27943.022590575099</v>
      </c>
      <c r="J285">
        <v>7220.2335593503403</v>
      </c>
      <c r="K285" s="1">
        <f t="shared" si="3"/>
        <v>0.10000000000000009</v>
      </c>
    </row>
    <row r="286" spans="1:11" x14ac:dyDescent="0.35">
      <c r="A286">
        <v>110</v>
      </c>
      <c r="B286" t="s">
        <v>15</v>
      </c>
      <c r="C286" t="s">
        <v>15</v>
      </c>
      <c r="D286">
        <v>2046</v>
      </c>
      <c r="E286">
        <v>72247.043219463798</v>
      </c>
      <c r="F286">
        <v>12708.3708619148</v>
      </c>
      <c r="G286">
        <v>227549.44861554701</v>
      </c>
      <c r="H286">
        <v>47007.582339460401</v>
      </c>
      <c r="I286">
        <v>25412.303228481102</v>
      </c>
      <c r="J286">
        <v>5249.7201980323398</v>
      </c>
      <c r="K286" s="1">
        <f t="shared" si="3"/>
        <v>0.10000000000000009</v>
      </c>
    </row>
    <row r="287" spans="1:11" x14ac:dyDescent="0.35">
      <c r="A287">
        <v>110</v>
      </c>
      <c r="B287" t="s">
        <v>15</v>
      </c>
      <c r="C287" t="s">
        <v>15</v>
      </c>
      <c r="D287">
        <v>2047</v>
      </c>
      <c r="E287">
        <v>72191.826578516804</v>
      </c>
      <c r="F287">
        <v>9338.2750302627192</v>
      </c>
      <c r="G287">
        <v>227634.614375732</v>
      </c>
      <c r="H287">
        <v>34947.579148171098</v>
      </c>
      <c r="I287">
        <v>23110.7403488052</v>
      </c>
      <c r="J287">
        <v>3548.0738714876402</v>
      </c>
      <c r="K287" s="1">
        <f t="shared" si="3"/>
        <v>0.10000000000000009</v>
      </c>
    </row>
    <row r="288" spans="1:11" x14ac:dyDescent="0.35">
      <c r="A288">
        <v>110</v>
      </c>
      <c r="B288" t="s">
        <v>15</v>
      </c>
      <c r="C288" t="s">
        <v>15</v>
      </c>
      <c r="D288">
        <v>2048</v>
      </c>
      <c r="E288">
        <v>72136.609991455407</v>
      </c>
      <c r="F288">
        <v>5968.17919861065</v>
      </c>
      <c r="G288">
        <v>227719.38402801799</v>
      </c>
      <c r="H288">
        <v>22594.676720756801</v>
      </c>
      <c r="I288">
        <v>21017.5878531321</v>
      </c>
      <c r="J288">
        <v>2085.39824143032</v>
      </c>
      <c r="K288" s="1">
        <f t="shared" si="3"/>
        <v>0.10000000000000009</v>
      </c>
    </row>
    <row r="289" spans="1:11" x14ac:dyDescent="0.35">
      <c r="A289">
        <v>110</v>
      </c>
      <c r="B289" t="s">
        <v>15</v>
      </c>
      <c r="C289" t="s">
        <v>15</v>
      </c>
      <c r="D289">
        <v>2049</v>
      </c>
      <c r="E289">
        <v>72081.393350508399</v>
      </c>
      <c r="F289">
        <v>2598.08336695858</v>
      </c>
      <c r="G289">
        <v>227803.75716022501</v>
      </c>
      <c r="H289">
        <v>9948.8750572174195</v>
      </c>
      <c r="I289">
        <v>19113.977414171299</v>
      </c>
      <c r="J289">
        <v>834.76486740434302</v>
      </c>
      <c r="K289" s="1">
        <f t="shared" si="3"/>
        <v>0.10000000000000009</v>
      </c>
    </row>
    <row r="290" spans="1:11" x14ac:dyDescent="0.35">
      <c r="A290">
        <v>110</v>
      </c>
      <c r="B290" t="s">
        <v>15</v>
      </c>
      <c r="C290" t="s">
        <v>15</v>
      </c>
      <c r="D290">
        <v>2050</v>
      </c>
      <c r="E290">
        <v>72026.176709561405</v>
      </c>
      <c r="F290">
        <v>0</v>
      </c>
      <c r="G290">
        <v>227887.73401437199</v>
      </c>
      <c r="H290">
        <v>0</v>
      </c>
      <c r="I290">
        <v>17382.7486637734</v>
      </c>
      <c r="J290">
        <v>0</v>
      </c>
      <c r="K290" s="1">
        <f t="shared" si="3"/>
        <v>9.9999999999999867E-2</v>
      </c>
    </row>
    <row r="291" spans="1:11" x14ac:dyDescent="0.35">
      <c r="A291">
        <v>110</v>
      </c>
      <c r="B291" t="s">
        <v>15</v>
      </c>
      <c r="C291" t="s">
        <v>15</v>
      </c>
      <c r="D291">
        <v>2051</v>
      </c>
      <c r="E291" t="s">
        <v>12</v>
      </c>
      <c r="F291" t="s">
        <v>12</v>
      </c>
      <c r="G291">
        <v>234724.366034804</v>
      </c>
      <c r="H291">
        <v>0</v>
      </c>
      <c r="I291">
        <v>3353205.2290686201</v>
      </c>
      <c r="J291">
        <v>0</v>
      </c>
      <c r="K291" s="1">
        <f t="shared" si="3"/>
        <v>-9.0603032986147136E-2</v>
      </c>
    </row>
    <row r="292" spans="1:11" x14ac:dyDescent="0.35">
      <c r="A292">
        <v>111</v>
      </c>
      <c r="B292" t="s">
        <v>15</v>
      </c>
      <c r="C292" t="s">
        <v>15</v>
      </c>
      <c r="D292">
        <v>2023</v>
      </c>
      <c r="E292">
        <v>798104.26500000001</v>
      </c>
      <c r="F292">
        <v>798104.26500000001</v>
      </c>
      <c r="G292">
        <v>2372554.39726596</v>
      </c>
      <c r="H292">
        <v>2372554.39726596</v>
      </c>
      <c r="I292">
        <v>2372554.39726596</v>
      </c>
      <c r="J292">
        <v>2372554.39726596</v>
      </c>
      <c r="K292" s="1" t="e">
        <f t="shared" si="3"/>
        <v>#DIV/0!</v>
      </c>
    </row>
    <row r="293" spans="1:11" x14ac:dyDescent="0.35">
      <c r="A293">
        <v>111</v>
      </c>
      <c r="B293" t="s">
        <v>15</v>
      </c>
      <c r="C293" t="s">
        <v>15</v>
      </c>
      <c r="D293">
        <v>2024</v>
      </c>
      <c r="E293">
        <v>794312.77500000002</v>
      </c>
      <c r="F293">
        <v>794312.77500000002</v>
      </c>
      <c r="G293">
        <v>2356219.2703987202</v>
      </c>
      <c r="H293">
        <v>2356219.2703987202</v>
      </c>
      <c r="I293">
        <v>2142017.5185442902</v>
      </c>
      <c r="J293">
        <v>2142017.5185442902</v>
      </c>
      <c r="K293" s="1">
        <f t="shared" si="3"/>
        <v>0.10000000000000053</v>
      </c>
    </row>
    <row r="294" spans="1:11" x14ac:dyDescent="0.35">
      <c r="A294">
        <v>111</v>
      </c>
      <c r="B294" t="s">
        <v>15</v>
      </c>
      <c r="C294" t="s">
        <v>15</v>
      </c>
      <c r="D294">
        <v>2025</v>
      </c>
      <c r="E294">
        <v>790539.29599999997</v>
      </c>
      <c r="F294">
        <v>790539.29599999997</v>
      </c>
      <c r="G294">
        <v>2339985.8000110202</v>
      </c>
      <c r="H294">
        <v>2339985.8000110202</v>
      </c>
      <c r="I294">
        <v>1933872.5619925701</v>
      </c>
      <c r="J294">
        <v>1933872.5619925701</v>
      </c>
      <c r="K294" s="1">
        <f t="shared" si="3"/>
        <v>0.10000000000000231</v>
      </c>
    </row>
    <row r="295" spans="1:11" x14ac:dyDescent="0.35">
      <c r="A295">
        <v>111</v>
      </c>
      <c r="B295" t="s">
        <v>15</v>
      </c>
      <c r="C295" t="s">
        <v>15</v>
      </c>
      <c r="D295">
        <v>2026</v>
      </c>
      <c r="E295">
        <v>786783.74399999995</v>
      </c>
      <c r="F295">
        <v>786783.74399999995</v>
      </c>
      <c r="G295">
        <v>2335741.1364887501</v>
      </c>
      <c r="H295">
        <v>2335741.1364887501</v>
      </c>
      <c r="I295">
        <v>1754876.88691867</v>
      </c>
      <c r="J295">
        <v>1754876.88691867</v>
      </c>
      <c r="K295" s="1">
        <f t="shared" si="3"/>
        <v>0.10000000000000009</v>
      </c>
    </row>
    <row r="296" spans="1:11" x14ac:dyDescent="0.35">
      <c r="A296">
        <v>111</v>
      </c>
      <c r="B296" t="s">
        <v>15</v>
      </c>
      <c r="C296" t="s">
        <v>15</v>
      </c>
      <c r="D296">
        <v>2027</v>
      </c>
      <c r="E296">
        <v>783046.03300000005</v>
      </c>
      <c r="F296">
        <v>783046.03300000005</v>
      </c>
      <c r="G296">
        <v>2331483.99221688</v>
      </c>
      <c r="H296">
        <v>2331483.99221688</v>
      </c>
      <c r="I296">
        <v>1592434.9376524</v>
      </c>
      <c r="J296">
        <v>1592434.9376524</v>
      </c>
      <c r="K296" s="1">
        <f t="shared" si="3"/>
        <v>0.10000000000000009</v>
      </c>
    </row>
    <row r="297" spans="1:11" x14ac:dyDescent="0.35">
      <c r="A297">
        <v>111</v>
      </c>
      <c r="B297" t="s">
        <v>15</v>
      </c>
      <c r="C297" t="s">
        <v>15</v>
      </c>
      <c r="D297">
        <v>2028</v>
      </c>
      <c r="E297">
        <v>779326.07799999998</v>
      </c>
      <c r="F297">
        <v>779326.07799999998</v>
      </c>
      <c r="G297">
        <v>2327214.5812256201</v>
      </c>
      <c r="H297">
        <v>2327214.5812256201</v>
      </c>
      <c r="I297">
        <v>1445017.1568171701</v>
      </c>
      <c r="J297">
        <v>1445017.1568171701</v>
      </c>
      <c r="K297" s="1">
        <f t="shared" si="3"/>
        <v>9.9999999999999867E-2</v>
      </c>
    </row>
    <row r="298" spans="1:11" x14ac:dyDescent="0.35">
      <c r="A298">
        <v>111</v>
      </c>
      <c r="B298" t="s">
        <v>15</v>
      </c>
      <c r="C298" t="s">
        <v>15</v>
      </c>
      <c r="D298">
        <v>2029</v>
      </c>
      <c r="E298">
        <v>775623.79599999997</v>
      </c>
      <c r="F298">
        <v>775623.79599999997</v>
      </c>
      <c r="G298">
        <v>2322933.1193946199</v>
      </c>
      <c r="H298">
        <v>2322933.1193946199</v>
      </c>
      <c r="I298">
        <v>1311235.1871567599</v>
      </c>
      <c r="J298">
        <v>1311235.1871567599</v>
      </c>
      <c r="K298" s="1">
        <f t="shared" si="3"/>
        <v>0.10000000000000031</v>
      </c>
    </row>
    <row r="299" spans="1:11" x14ac:dyDescent="0.35">
      <c r="A299">
        <v>111</v>
      </c>
      <c r="B299" t="s">
        <v>15</v>
      </c>
      <c r="C299" t="s">
        <v>15</v>
      </c>
      <c r="D299">
        <v>2030</v>
      </c>
      <c r="E299">
        <v>779683.51318831404</v>
      </c>
      <c r="F299">
        <v>739585.32755796204</v>
      </c>
      <c r="G299">
        <v>2341901.3650063602</v>
      </c>
      <c r="H299">
        <v>2221460.19359054</v>
      </c>
      <c r="I299">
        <v>1201765.6975485899</v>
      </c>
      <c r="J299">
        <v>1139960.3326673401</v>
      </c>
      <c r="K299" s="1">
        <f t="shared" si="3"/>
        <v>9.9999999999999645E-2</v>
      </c>
    </row>
    <row r="300" spans="1:11" x14ac:dyDescent="0.35">
      <c r="A300">
        <v>111</v>
      </c>
      <c r="B300" t="s">
        <v>15</v>
      </c>
      <c r="C300" t="s">
        <v>15</v>
      </c>
      <c r="D300">
        <v>2031</v>
      </c>
      <c r="E300">
        <v>781714.21071159502</v>
      </c>
      <c r="F300">
        <v>703546.85911592399</v>
      </c>
      <c r="G300">
        <v>2359806.6022501201</v>
      </c>
      <c r="H300">
        <v>2143786.0855752998</v>
      </c>
      <c r="I300">
        <v>1100867.1958173299</v>
      </c>
      <c r="J300">
        <v>1000092.03051181</v>
      </c>
      <c r="K300" s="1">
        <f t="shared" si="3"/>
        <v>0.10000000000000075</v>
      </c>
    </row>
    <row r="301" spans="1:11" x14ac:dyDescent="0.35">
      <c r="A301">
        <v>111</v>
      </c>
      <c r="B301" t="s">
        <v>15</v>
      </c>
      <c r="C301" t="s">
        <v>15</v>
      </c>
      <c r="D301">
        <v>2032</v>
      </c>
      <c r="E301">
        <v>783744.90823487705</v>
      </c>
      <c r="F301">
        <v>667508.39067388605</v>
      </c>
      <c r="G301">
        <v>2377773.1760932002</v>
      </c>
      <c r="H301">
        <v>2062979.8292755301</v>
      </c>
      <c r="I301">
        <v>1008407.9410111</v>
      </c>
      <c r="J301">
        <v>874904.832346229</v>
      </c>
      <c r="K301" s="1">
        <f t="shared" si="3"/>
        <v>0.10000000000000075</v>
      </c>
    </row>
    <row r="302" spans="1:11" x14ac:dyDescent="0.35">
      <c r="A302">
        <v>111</v>
      </c>
      <c r="B302" t="s">
        <v>15</v>
      </c>
      <c r="C302" t="s">
        <v>15</v>
      </c>
      <c r="D302">
        <v>2033</v>
      </c>
      <c r="E302">
        <v>785775.60637253302</v>
      </c>
      <c r="F302">
        <v>631469.922231848</v>
      </c>
      <c r="G302">
        <v>2395801.0884088199</v>
      </c>
      <c r="H302">
        <v>1979041.4246912401</v>
      </c>
      <c r="I302">
        <v>923685.03244398604</v>
      </c>
      <c r="J302">
        <v>763006.14079276798</v>
      </c>
      <c r="K302" s="1">
        <f t="shared" si="3"/>
        <v>0.10000000000000031</v>
      </c>
    </row>
    <row r="303" spans="1:11" x14ac:dyDescent="0.35">
      <c r="A303">
        <v>111</v>
      </c>
      <c r="B303" t="s">
        <v>15</v>
      </c>
      <c r="C303" t="s">
        <v>15</v>
      </c>
      <c r="D303">
        <v>2034</v>
      </c>
      <c r="E303">
        <v>787806.303895814</v>
      </c>
      <c r="F303">
        <v>595431.45378980995</v>
      </c>
      <c r="G303">
        <v>2413890.3354598298</v>
      </c>
      <c r="H303">
        <v>1891970.8718224301</v>
      </c>
      <c r="I303">
        <v>846053.83659576299</v>
      </c>
      <c r="J303">
        <v>663124.24857025302</v>
      </c>
      <c r="K303" s="1">
        <f t="shared" si="3"/>
        <v>9.9999999999999867E-2</v>
      </c>
    </row>
    <row r="304" spans="1:11" x14ac:dyDescent="0.35">
      <c r="A304">
        <v>111</v>
      </c>
      <c r="B304" t="s">
        <v>15</v>
      </c>
      <c r="C304" t="s">
        <v>15</v>
      </c>
      <c r="D304">
        <v>2035</v>
      </c>
      <c r="E304">
        <v>789837.00141909602</v>
      </c>
      <c r="F304">
        <v>559392.98534777202</v>
      </c>
      <c r="G304">
        <v>2432040.9191101799</v>
      </c>
      <c r="H304">
        <v>1801768.17066909</v>
      </c>
      <c r="I304">
        <v>774923.18676112301</v>
      </c>
      <c r="J304">
        <v>574098.86554478598</v>
      </c>
      <c r="K304" s="1">
        <f t="shared" si="3"/>
        <v>0.10000000000000009</v>
      </c>
    </row>
    <row r="305" spans="1:11" x14ac:dyDescent="0.35">
      <c r="A305">
        <v>111</v>
      </c>
      <c r="B305" t="s">
        <v>15</v>
      </c>
      <c r="C305" t="s">
        <v>15</v>
      </c>
      <c r="D305">
        <v>2036</v>
      </c>
      <c r="E305">
        <v>791660.16120896896</v>
      </c>
      <c r="F305">
        <v>523354.51690573402</v>
      </c>
      <c r="G305">
        <v>2442640.2002381799</v>
      </c>
      <c r="H305">
        <v>1708433.3212312299</v>
      </c>
      <c r="I305">
        <v>707545.85852189094</v>
      </c>
      <c r="J305">
        <v>494872.278315934</v>
      </c>
      <c r="K305" s="1">
        <f t="shared" si="3"/>
        <v>0.10000000000000009</v>
      </c>
    </row>
    <row r="306" spans="1:11" x14ac:dyDescent="0.35">
      <c r="A306">
        <v>111</v>
      </c>
      <c r="B306" t="s">
        <v>15</v>
      </c>
      <c r="C306" t="s">
        <v>15</v>
      </c>
      <c r="D306">
        <v>2037</v>
      </c>
      <c r="E306">
        <v>793483.32099884399</v>
      </c>
      <c r="F306">
        <v>487316.04846369498</v>
      </c>
      <c r="G306">
        <v>2453262.44399811</v>
      </c>
      <c r="H306">
        <v>1611966.3235088501</v>
      </c>
      <c r="I306">
        <v>646020.67652002</v>
      </c>
      <c r="J306">
        <v>424481.11386874499</v>
      </c>
      <c r="K306" s="1">
        <f t="shared" si="3"/>
        <v>0.10000000000000009</v>
      </c>
    </row>
    <row r="307" spans="1:11" x14ac:dyDescent="0.35">
      <c r="A307">
        <v>111</v>
      </c>
      <c r="B307" t="s">
        <v>15</v>
      </c>
      <c r="C307" t="s">
        <v>15</v>
      </c>
      <c r="D307">
        <v>2038</v>
      </c>
      <c r="E307">
        <v>795306.48078871798</v>
      </c>
      <c r="F307">
        <v>451277.58002165699</v>
      </c>
      <c r="G307">
        <v>2463907.6503899498</v>
      </c>
      <c r="H307">
        <v>1512367.1775019399</v>
      </c>
      <c r="I307">
        <v>589839.90188321006</v>
      </c>
      <c r="J307">
        <v>362048.67802084697</v>
      </c>
      <c r="K307" s="1">
        <f t="shared" si="3"/>
        <v>0.10000000000000009</v>
      </c>
    </row>
    <row r="308" spans="1:11" x14ac:dyDescent="0.35">
      <c r="A308">
        <v>111</v>
      </c>
      <c r="B308" t="s">
        <v>15</v>
      </c>
      <c r="C308" t="s">
        <v>15</v>
      </c>
      <c r="D308">
        <v>2039</v>
      </c>
      <c r="E308">
        <v>797129.64057859196</v>
      </c>
      <c r="F308">
        <v>415239.111579619</v>
      </c>
      <c r="G308">
        <v>2474575.8194137099</v>
      </c>
      <c r="H308">
        <v>1409635.88321051</v>
      </c>
      <c r="I308">
        <v>538539.79702620499</v>
      </c>
      <c r="J308">
        <v>306777.83904188598</v>
      </c>
      <c r="K308" s="1">
        <f t="shared" si="3"/>
        <v>0.10000000000000009</v>
      </c>
    </row>
    <row r="309" spans="1:11" x14ac:dyDescent="0.35">
      <c r="A309">
        <v>111</v>
      </c>
      <c r="B309" t="s">
        <v>15</v>
      </c>
      <c r="C309" t="s">
        <v>15</v>
      </c>
      <c r="D309">
        <v>2040</v>
      </c>
      <c r="E309">
        <v>798952.80036846595</v>
      </c>
      <c r="F309">
        <v>379200.64313758101</v>
      </c>
      <c r="G309">
        <v>2485266.9510694002</v>
      </c>
      <c r="H309">
        <v>1303772.4406345501</v>
      </c>
      <c r="I309">
        <v>491696.81706277299</v>
      </c>
      <c r="J309">
        <v>257944.42683846399</v>
      </c>
      <c r="K309" s="1">
        <f t="shared" si="3"/>
        <v>0.10000000000000009</v>
      </c>
    </row>
    <row r="310" spans="1:11" x14ac:dyDescent="0.35">
      <c r="A310">
        <v>111</v>
      </c>
      <c r="B310" t="s">
        <v>15</v>
      </c>
      <c r="C310" t="s">
        <v>15</v>
      </c>
      <c r="D310">
        <v>2041</v>
      </c>
      <c r="E310">
        <v>799536.83757397195</v>
      </c>
      <c r="F310">
        <v>343162.17469554301</v>
      </c>
      <c r="G310">
        <v>2492737.6907383101</v>
      </c>
      <c r="H310">
        <v>1194776.8497740801</v>
      </c>
      <c r="I310">
        <v>448340.784617281</v>
      </c>
      <c r="J310">
        <v>214891.11841190801</v>
      </c>
      <c r="K310" s="1">
        <f t="shared" si="3"/>
        <v>9.9999999999999867E-2</v>
      </c>
    </row>
    <row r="311" spans="1:11" x14ac:dyDescent="0.35">
      <c r="A311">
        <v>111</v>
      </c>
      <c r="B311" t="s">
        <v>15</v>
      </c>
      <c r="C311" t="s">
        <v>15</v>
      </c>
      <c r="D311">
        <v>2042</v>
      </c>
      <c r="E311">
        <v>800120.87539385306</v>
      </c>
      <c r="F311">
        <v>307123.70625350502</v>
      </c>
      <c r="G311">
        <v>2500216.6924767802</v>
      </c>
      <c r="H311">
        <v>1082649.1106290801</v>
      </c>
      <c r="I311">
        <v>408805.40801789903</v>
      </c>
      <c r="J311">
        <v>177021.78084912</v>
      </c>
      <c r="K311" s="1">
        <f t="shared" si="3"/>
        <v>0.10000000000000031</v>
      </c>
    </row>
    <row r="312" spans="1:11" x14ac:dyDescent="0.35">
      <c r="A312">
        <v>111</v>
      </c>
      <c r="B312" t="s">
        <v>15</v>
      </c>
      <c r="C312" t="s">
        <v>15</v>
      </c>
      <c r="D312">
        <v>2043</v>
      </c>
      <c r="E312">
        <v>800704.91259935906</v>
      </c>
      <c r="F312">
        <v>271085.23781146703</v>
      </c>
      <c r="G312">
        <v>2507703.9524495401</v>
      </c>
      <c r="H312">
        <v>967389.22319955099</v>
      </c>
      <c r="I312">
        <v>372754.21350258298</v>
      </c>
      <c r="J312">
        <v>143796.24384783901</v>
      </c>
      <c r="K312" s="1">
        <f t="shared" si="3"/>
        <v>0.10000000000000031</v>
      </c>
    </row>
    <row r="313" spans="1:11" x14ac:dyDescent="0.35">
      <c r="A313">
        <v>111</v>
      </c>
      <c r="B313" t="s">
        <v>15</v>
      </c>
      <c r="C313" t="s">
        <v>15</v>
      </c>
      <c r="D313">
        <v>2044</v>
      </c>
      <c r="E313">
        <v>801288.95041924005</v>
      </c>
      <c r="F313">
        <v>235046.76936942901</v>
      </c>
      <c r="G313">
        <v>2515199.4740998899</v>
      </c>
      <c r="H313">
        <v>848997.18748550199</v>
      </c>
      <c r="I313">
        <v>339880.34094056801</v>
      </c>
      <c r="J313">
        <v>114725.474663763</v>
      </c>
      <c r="K313" s="1">
        <f t="shared" si="3"/>
        <v>0.10000000000000009</v>
      </c>
    </row>
    <row r="314" spans="1:11" x14ac:dyDescent="0.35">
      <c r="A314">
        <v>111</v>
      </c>
      <c r="B314" t="s">
        <v>15</v>
      </c>
      <c r="C314" t="s">
        <v>15</v>
      </c>
      <c r="D314">
        <v>2045</v>
      </c>
      <c r="E314">
        <v>801872.987624745</v>
      </c>
      <c r="F314">
        <v>199008.30092739101</v>
      </c>
      <c r="G314">
        <v>2522703.2543761898</v>
      </c>
      <c r="H314">
        <v>727473.00348693004</v>
      </c>
      <c r="I314">
        <v>309903.937321315</v>
      </c>
      <c r="J314">
        <v>89367.129361915402</v>
      </c>
      <c r="K314" s="1">
        <f t="shared" si="3"/>
        <v>0.10000000000000009</v>
      </c>
    </row>
    <row r="315" spans="1:11" x14ac:dyDescent="0.35">
      <c r="A315">
        <v>111</v>
      </c>
      <c r="B315" t="s">
        <v>15</v>
      </c>
      <c r="C315" t="s">
        <v>15</v>
      </c>
      <c r="D315">
        <v>2046</v>
      </c>
      <c r="E315">
        <v>801243.43567276304</v>
      </c>
      <c r="F315">
        <v>162969.83248535299</v>
      </c>
      <c r="G315">
        <v>2523598.1137708998</v>
      </c>
      <c r="H315">
        <v>602816.67120383505</v>
      </c>
      <c r="I315">
        <v>281830.788358972</v>
      </c>
      <c r="J315">
        <v>67321.455327704898</v>
      </c>
      <c r="K315" s="1">
        <f t="shared" si="3"/>
        <v>0.10000000000000009</v>
      </c>
    </row>
    <row r="316" spans="1:11" x14ac:dyDescent="0.35">
      <c r="A316">
        <v>111</v>
      </c>
      <c r="B316" t="s">
        <v>15</v>
      </c>
      <c r="C316" t="s">
        <v>15</v>
      </c>
      <c r="D316">
        <v>2047</v>
      </c>
      <c r="E316">
        <v>800613.88372078096</v>
      </c>
      <c r="F316">
        <v>126931.364043315</v>
      </c>
      <c r="G316">
        <v>2524488.4541939502</v>
      </c>
      <c r="H316">
        <v>475028.19063621701</v>
      </c>
      <c r="I316">
        <v>256300.19994293401</v>
      </c>
      <c r="J316">
        <v>48227.521118715697</v>
      </c>
      <c r="K316" s="1">
        <f t="shared" si="3"/>
        <v>0.10000000000000009</v>
      </c>
    </row>
    <row r="317" spans="1:11" x14ac:dyDescent="0.35">
      <c r="A317">
        <v>111</v>
      </c>
      <c r="B317" t="s">
        <v>15</v>
      </c>
      <c r="C317" t="s">
        <v>15</v>
      </c>
      <c r="D317">
        <v>2048</v>
      </c>
      <c r="E317">
        <v>799984.33238317398</v>
      </c>
      <c r="F317">
        <v>90892.895601276803</v>
      </c>
      <c r="G317">
        <v>2525374.2783856899</v>
      </c>
      <c r="H317">
        <v>344107.561784074</v>
      </c>
      <c r="I317">
        <v>233081.93979429</v>
      </c>
      <c r="J317">
        <v>31759.750895136902</v>
      </c>
      <c r="K317" s="1">
        <f t="shared" si="3"/>
        <v>0.10000000000000009</v>
      </c>
    </row>
    <row r="318" spans="1:11" x14ac:dyDescent="0.35">
      <c r="A318">
        <v>111</v>
      </c>
      <c r="B318" t="s">
        <v>15</v>
      </c>
      <c r="C318" t="s">
        <v>15</v>
      </c>
      <c r="D318">
        <v>2049</v>
      </c>
      <c r="E318">
        <v>799354.78043119097</v>
      </c>
      <c r="F318">
        <v>54854.427159238701</v>
      </c>
      <c r="G318">
        <v>2526255.5816691602</v>
      </c>
      <c r="H318">
        <v>210054.78464740899</v>
      </c>
      <c r="I318">
        <v>211966.61869139501</v>
      </c>
      <c r="J318">
        <v>17624.741837182599</v>
      </c>
      <c r="K318" s="1">
        <f t="shared" si="3"/>
        <v>0.10000000000000009</v>
      </c>
    </row>
    <row r="319" spans="1:11" x14ac:dyDescent="0.35">
      <c r="A319">
        <v>111</v>
      </c>
      <c r="B319" t="s">
        <v>15</v>
      </c>
      <c r="C319" t="s">
        <v>15</v>
      </c>
      <c r="D319">
        <v>2050</v>
      </c>
      <c r="E319">
        <v>798725.22847920901</v>
      </c>
      <c r="F319">
        <v>18815.958717200599</v>
      </c>
      <c r="G319">
        <v>2527132.3667812599</v>
      </c>
      <c r="H319">
        <v>72869.859226219298</v>
      </c>
      <c r="I319">
        <v>192763.80522119199</v>
      </c>
      <c r="J319">
        <v>5558.34412752566</v>
      </c>
      <c r="K319" s="1">
        <f t="shared" si="3"/>
        <v>0.10000000000000009</v>
      </c>
    </row>
    <row r="320" spans="1:11" x14ac:dyDescent="0.35">
      <c r="A320">
        <v>111</v>
      </c>
      <c r="B320" t="s">
        <v>15</v>
      </c>
      <c r="C320" t="s">
        <v>15</v>
      </c>
      <c r="D320">
        <v>2051</v>
      </c>
      <c r="E320" t="s">
        <v>12</v>
      </c>
      <c r="F320" t="s">
        <v>12</v>
      </c>
      <c r="G320">
        <v>2602946.3377846899</v>
      </c>
      <c r="H320">
        <v>75055.955003005904</v>
      </c>
      <c r="I320">
        <v>37184947.682638504</v>
      </c>
      <c r="J320">
        <v>1072227.9286143701</v>
      </c>
      <c r="K320" s="1">
        <f t="shared" si="3"/>
        <v>-9.0603032986147358E-2</v>
      </c>
    </row>
    <row r="321" spans="1:11" x14ac:dyDescent="0.35">
      <c r="A321">
        <v>112</v>
      </c>
      <c r="B321" t="s">
        <v>15</v>
      </c>
      <c r="C321" t="s">
        <v>15</v>
      </c>
      <c r="D321">
        <v>2023</v>
      </c>
      <c r="E321">
        <v>70000</v>
      </c>
      <c r="F321">
        <v>70000</v>
      </c>
      <c r="G321">
        <v>208091.61796500001</v>
      </c>
      <c r="H321">
        <v>208091.61796500001</v>
      </c>
      <c r="I321">
        <v>208091.61796500001</v>
      </c>
      <c r="J321">
        <v>208091.61796500001</v>
      </c>
      <c r="K321" s="1" t="e">
        <f t="shared" si="3"/>
        <v>#DIV/0!</v>
      </c>
    </row>
    <row r="322" spans="1:11" x14ac:dyDescent="0.35">
      <c r="A322">
        <v>112</v>
      </c>
      <c r="B322" t="s">
        <v>15</v>
      </c>
      <c r="C322" t="s">
        <v>15</v>
      </c>
      <c r="D322">
        <v>2024</v>
      </c>
      <c r="E322">
        <v>70000</v>
      </c>
      <c r="F322">
        <v>70000</v>
      </c>
      <c r="G322">
        <v>207645.343395</v>
      </c>
      <c r="H322">
        <v>207645.343395</v>
      </c>
      <c r="I322">
        <v>188768.49399545501</v>
      </c>
      <c r="J322">
        <v>188768.49399545501</v>
      </c>
      <c r="K322" s="1">
        <f t="shared" si="3"/>
        <v>9.9999999999997424E-2</v>
      </c>
    </row>
    <row r="323" spans="1:11" x14ac:dyDescent="0.35">
      <c r="A323">
        <v>112</v>
      </c>
      <c r="B323" t="s">
        <v>15</v>
      </c>
      <c r="C323" t="s">
        <v>15</v>
      </c>
      <c r="D323">
        <v>2025</v>
      </c>
      <c r="E323">
        <v>70000</v>
      </c>
      <c r="F323">
        <v>70000</v>
      </c>
      <c r="G323">
        <v>207199.06882499999</v>
      </c>
      <c r="H323">
        <v>207199.06882499999</v>
      </c>
      <c r="I323">
        <v>171238.899855372</v>
      </c>
      <c r="J323">
        <v>171238.899855372</v>
      </c>
      <c r="K323" s="1">
        <f t="shared" si="3"/>
        <v>9.9999999999999645E-2</v>
      </c>
    </row>
    <row r="324" spans="1:11" x14ac:dyDescent="0.35">
      <c r="A324">
        <v>112</v>
      </c>
      <c r="B324" t="s">
        <v>15</v>
      </c>
      <c r="C324" t="s">
        <v>15</v>
      </c>
      <c r="D324">
        <v>2026</v>
      </c>
      <c r="E324">
        <v>70000</v>
      </c>
      <c r="F324">
        <v>70000</v>
      </c>
      <c r="G324">
        <v>207810.44448500001</v>
      </c>
      <c r="H324">
        <v>207810.44448500001</v>
      </c>
      <c r="I324">
        <v>156131.06272351599</v>
      </c>
      <c r="J324">
        <v>156131.06272351599</v>
      </c>
      <c r="K324" s="1">
        <f t="shared" ref="K324:K349" si="4">(G324/I324)^(1/(D324-$D$2))-1</f>
        <v>0.10000000000000031</v>
      </c>
    </row>
    <row r="325" spans="1:11" x14ac:dyDescent="0.35">
      <c r="A325">
        <v>112</v>
      </c>
      <c r="B325" t="s">
        <v>15</v>
      </c>
      <c r="C325" t="s">
        <v>15</v>
      </c>
      <c r="D325">
        <v>2027</v>
      </c>
      <c r="E325">
        <v>70000</v>
      </c>
      <c r="F325">
        <v>70000</v>
      </c>
      <c r="G325">
        <v>208421.82014500001</v>
      </c>
      <c r="H325">
        <v>208421.82014500001</v>
      </c>
      <c r="I325">
        <v>142354.90755071401</v>
      </c>
      <c r="J325">
        <v>142354.90755071401</v>
      </c>
      <c r="K325" s="1">
        <f t="shared" si="4"/>
        <v>9.9999999999999423E-2</v>
      </c>
    </row>
    <row r="326" spans="1:11" x14ac:dyDescent="0.35">
      <c r="A326">
        <v>112</v>
      </c>
      <c r="B326" t="s">
        <v>15</v>
      </c>
      <c r="C326" t="s">
        <v>15</v>
      </c>
      <c r="D326">
        <v>2028</v>
      </c>
      <c r="E326">
        <v>70000</v>
      </c>
      <c r="F326">
        <v>70000</v>
      </c>
      <c r="G326">
        <v>209033.19584</v>
      </c>
      <c r="H326">
        <v>209033.19584</v>
      </c>
      <c r="I326">
        <v>129793.16852425601</v>
      </c>
      <c r="J326">
        <v>129793.16852425601</v>
      </c>
      <c r="K326" s="1">
        <f t="shared" si="4"/>
        <v>0.10000000000000053</v>
      </c>
    </row>
    <row r="327" spans="1:11" x14ac:dyDescent="0.35">
      <c r="A327">
        <v>112</v>
      </c>
      <c r="B327" t="s">
        <v>15</v>
      </c>
      <c r="C327" t="s">
        <v>15</v>
      </c>
      <c r="D327">
        <v>2029</v>
      </c>
      <c r="E327">
        <v>70000</v>
      </c>
      <c r="F327">
        <v>70000</v>
      </c>
      <c r="G327">
        <v>209644.57149999999</v>
      </c>
      <c r="H327">
        <v>209644.57149999999</v>
      </c>
      <c r="I327">
        <v>118338.895189045</v>
      </c>
      <c r="J327">
        <v>118338.895189045</v>
      </c>
      <c r="K327" s="1">
        <f t="shared" si="4"/>
        <v>0.10000000000000031</v>
      </c>
    </row>
    <row r="328" spans="1:11" x14ac:dyDescent="0.35">
      <c r="A328">
        <v>112</v>
      </c>
      <c r="B328" t="s">
        <v>15</v>
      </c>
      <c r="C328" t="s">
        <v>15</v>
      </c>
      <c r="D328">
        <v>2030</v>
      </c>
      <c r="E328">
        <v>70356.069019606104</v>
      </c>
      <c r="F328">
        <v>66629.904168347901</v>
      </c>
      <c r="G328">
        <v>211325.456145309</v>
      </c>
      <c r="H328">
        <v>200133.337287086</v>
      </c>
      <c r="I328">
        <v>108443.373409772</v>
      </c>
      <c r="J328">
        <v>102700.046757472</v>
      </c>
      <c r="K328" s="1">
        <f t="shared" si="4"/>
        <v>0.10000000000000075</v>
      </c>
    </row>
    <row r="329" spans="1:11" x14ac:dyDescent="0.35">
      <c r="A329">
        <v>112</v>
      </c>
      <c r="B329" t="s">
        <v>15</v>
      </c>
      <c r="C329" t="s">
        <v>15</v>
      </c>
      <c r="D329">
        <v>2031</v>
      </c>
      <c r="E329">
        <v>70534.1771100693</v>
      </c>
      <c r="F329">
        <v>63259.808336695904</v>
      </c>
      <c r="G329">
        <v>212925.66330232599</v>
      </c>
      <c r="H329">
        <v>192759.72187379701</v>
      </c>
      <c r="I329">
        <v>99331.393366587698</v>
      </c>
      <c r="J329">
        <v>89923.832861301897</v>
      </c>
      <c r="K329" s="1">
        <f t="shared" si="4"/>
        <v>0.10000000000000031</v>
      </c>
    </row>
    <row r="330" spans="1:11" x14ac:dyDescent="0.35">
      <c r="A330">
        <v>112</v>
      </c>
      <c r="B330" t="s">
        <v>15</v>
      </c>
      <c r="C330" t="s">
        <v>15</v>
      </c>
      <c r="D330">
        <v>2032</v>
      </c>
      <c r="E330">
        <v>70712.285200532497</v>
      </c>
      <c r="F330">
        <v>59889.712505043797</v>
      </c>
      <c r="G330">
        <v>214531.25015989199</v>
      </c>
      <c r="H330">
        <v>185093.20722438299</v>
      </c>
      <c r="I330">
        <v>90982.192259282107</v>
      </c>
      <c r="J330">
        <v>78497.588360785696</v>
      </c>
      <c r="K330" s="1">
        <f t="shared" si="4"/>
        <v>9.9999999999999867E-2</v>
      </c>
    </row>
    <row r="331" spans="1:11" x14ac:dyDescent="0.35">
      <c r="A331">
        <v>112</v>
      </c>
      <c r="B331" t="s">
        <v>15</v>
      </c>
      <c r="C331" t="s">
        <v>15</v>
      </c>
      <c r="D331">
        <v>2033</v>
      </c>
      <c r="E331">
        <v>70890.393344881202</v>
      </c>
      <c r="F331">
        <v>56519.616673391698</v>
      </c>
      <c r="G331">
        <v>216142.21688230301</v>
      </c>
      <c r="H331">
        <v>177133.793338844</v>
      </c>
      <c r="I331">
        <v>83332.181281394398</v>
      </c>
      <c r="J331">
        <v>68292.745352988801</v>
      </c>
      <c r="K331" s="1">
        <f t="shared" si="4"/>
        <v>9.9999999999999867E-2</v>
      </c>
    </row>
    <row r="332" spans="1:11" x14ac:dyDescent="0.35">
      <c r="A332">
        <v>112</v>
      </c>
      <c r="B332" t="s">
        <v>15</v>
      </c>
      <c r="C332" t="s">
        <v>15</v>
      </c>
      <c r="D332">
        <v>2034</v>
      </c>
      <c r="E332">
        <v>71068.501435344398</v>
      </c>
      <c r="F332">
        <v>53149.520841739599</v>
      </c>
      <c r="G332">
        <v>217758.563141783</v>
      </c>
      <c r="H332">
        <v>168881.48021718001</v>
      </c>
      <c r="I332">
        <v>76323.047941028402</v>
      </c>
      <c r="J332">
        <v>59191.928551509103</v>
      </c>
      <c r="K332" s="1">
        <f t="shared" si="4"/>
        <v>0.10000000000000009</v>
      </c>
    </row>
    <row r="333" spans="1:11" x14ac:dyDescent="0.35">
      <c r="A333">
        <v>112</v>
      </c>
      <c r="B333" t="s">
        <v>15</v>
      </c>
      <c r="C333" t="s">
        <v>15</v>
      </c>
      <c r="D333">
        <v>2035</v>
      </c>
      <c r="E333">
        <v>71246.609525807595</v>
      </c>
      <c r="F333">
        <v>49779.425010087602</v>
      </c>
      <c r="G333">
        <v>219380.289101812</v>
      </c>
      <c r="H333">
        <v>160336.26785939099</v>
      </c>
      <c r="I333">
        <v>69901.320906044595</v>
      </c>
      <c r="J333">
        <v>51088.076136664597</v>
      </c>
      <c r="K333" s="1">
        <f t="shared" si="4"/>
        <v>0.10000000000000031</v>
      </c>
    </row>
    <row r="334" spans="1:11" x14ac:dyDescent="0.35">
      <c r="A334">
        <v>112</v>
      </c>
      <c r="B334" t="s">
        <v>15</v>
      </c>
      <c r="C334" t="s">
        <v>15</v>
      </c>
      <c r="D334">
        <v>2036</v>
      </c>
      <c r="E334">
        <v>71406.514930261503</v>
      </c>
      <c r="F334">
        <v>46409.329178435502</v>
      </c>
      <c r="G334">
        <v>220322.345968757</v>
      </c>
      <c r="H334">
        <v>151498.15626547701</v>
      </c>
      <c r="I334">
        <v>63819.535687171898</v>
      </c>
      <c r="J334">
        <v>43883.619465891199</v>
      </c>
      <c r="K334" s="1">
        <f t="shared" si="4"/>
        <v>0.10000000000000009</v>
      </c>
    </row>
    <row r="335" spans="1:11" x14ac:dyDescent="0.35">
      <c r="A335">
        <v>112</v>
      </c>
      <c r="B335" t="s">
        <v>15</v>
      </c>
      <c r="C335" t="s">
        <v>15</v>
      </c>
      <c r="D335">
        <v>2037</v>
      </c>
      <c r="E335">
        <v>71566.420334715396</v>
      </c>
      <c r="F335">
        <v>43039.233346783403</v>
      </c>
      <c r="G335">
        <v>221266.416838515</v>
      </c>
      <c r="H335">
        <v>142367.145435438</v>
      </c>
      <c r="I335">
        <v>58266.363081898096</v>
      </c>
      <c r="J335">
        <v>37489.718979489997</v>
      </c>
      <c r="K335" s="1">
        <f t="shared" si="4"/>
        <v>0.10000000000000009</v>
      </c>
    </row>
    <row r="336" spans="1:11" x14ac:dyDescent="0.35">
      <c r="A336">
        <v>112</v>
      </c>
      <c r="B336" t="s">
        <v>15</v>
      </c>
      <c r="C336" t="s">
        <v>15</v>
      </c>
      <c r="D336">
        <v>2038</v>
      </c>
      <c r="E336">
        <v>71726.325739169202</v>
      </c>
      <c r="F336">
        <v>39669.137515131399</v>
      </c>
      <c r="G336">
        <v>222212.50171108599</v>
      </c>
      <c r="H336">
        <v>132943.23536927401</v>
      </c>
      <c r="I336">
        <v>53195.906180065504</v>
      </c>
      <c r="J336">
        <v>31825.553564817499</v>
      </c>
      <c r="K336" s="1">
        <f t="shared" si="4"/>
        <v>0.10000000000000031</v>
      </c>
    </row>
    <row r="337" spans="1:11" x14ac:dyDescent="0.35">
      <c r="A337">
        <v>112</v>
      </c>
      <c r="B337" t="s">
        <v>15</v>
      </c>
      <c r="C337" t="s">
        <v>15</v>
      </c>
      <c r="D337">
        <v>2039</v>
      </c>
      <c r="E337">
        <v>71886.231143623096</v>
      </c>
      <c r="F337">
        <v>36299.0416834793</v>
      </c>
      <c r="G337">
        <v>223160.60058646899</v>
      </c>
      <c r="H337">
        <v>123226.426066985</v>
      </c>
      <c r="I337">
        <v>48566.2486480437</v>
      </c>
      <c r="J337">
        <v>26817.660611466501</v>
      </c>
      <c r="K337" s="1">
        <f t="shared" si="4"/>
        <v>0.10000000000000009</v>
      </c>
    </row>
    <row r="338" spans="1:11" x14ac:dyDescent="0.35">
      <c r="A338">
        <v>112</v>
      </c>
      <c r="B338" t="s">
        <v>15</v>
      </c>
      <c r="C338" t="s">
        <v>15</v>
      </c>
      <c r="D338">
        <v>2040</v>
      </c>
      <c r="E338">
        <v>72046.136548077004</v>
      </c>
      <c r="F338">
        <v>32928.9458518272</v>
      </c>
      <c r="G338">
        <v>224110.71346466499</v>
      </c>
      <c r="H338">
        <v>113216.717528571</v>
      </c>
      <c r="I338">
        <v>44339.109902389602</v>
      </c>
      <c r="J338">
        <v>22399.323993400201</v>
      </c>
      <c r="K338" s="1">
        <f t="shared" si="4"/>
        <v>0.10000000000000009</v>
      </c>
    </row>
    <row r="339" spans="1:11" x14ac:dyDescent="0.35">
      <c r="A339">
        <v>112</v>
      </c>
      <c r="B339" t="s">
        <v>15</v>
      </c>
      <c r="C339" t="s">
        <v>15</v>
      </c>
      <c r="D339">
        <v>2041</v>
      </c>
      <c r="E339">
        <v>72097.361188989598</v>
      </c>
      <c r="F339">
        <v>29558.850020175101</v>
      </c>
      <c r="G339">
        <v>224779.899052419</v>
      </c>
      <c r="H339">
        <v>102914.109754032</v>
      </c>
      <c r="I339">
        <v>40428.640639483303</v>
      </c>
      <c r="J339">
        <v>18510.0072449441</v>
      </c>
      <c r="K339" s="1">
        <f t="shared" si="4"/>
        <v>0.10000000000000009</v>
      </c>
    </row>
    <row r="340" spans="1:11" x14ac:dyDescent="0.35">
      <c r="A340">
        <v>112</v>
      </c>
      <c r="B340" t="s">
        <v>15</v>
      </c>
      <c r="C340" t="s">
        <v>15</v>
      </c>
      <c r="D340">
        <v>2042</v>
      </c>
      <c r="E340">
        <v>72148.5858837876</v>
      </c>
      <c r="F340">
        <v>26188.7541885231</v>
      </c>
      <c r="G340">
        <v>225449.809288435</v>
      </c>
      <c r="H340">
        <v>92318.602743367301</v>
      </c>
      <c r="I340">
        <v>36862.845348982701</v>
      </c>
      <c r="J340">
        <v>15094.829250483101</v>
      </c>
      <c r="K340" s="1">
        <f t="shared" si="4"/>
        <v>0.10000000000000009</v>
      </c>
    </row>
    <row r="341" spans="1:11" x14ac:dyDescent="0.35">
      <c r="A341">
        <v>112</v>
      </c>
      <c r="B341" t="s">
        <v>15</v>
      </c>
      <c r="C341" t="s">
        <v>15</v>
      </c>
      <c r="D341">
        <v>2043</v>
      </c>
      <c r="E341">
        <v>72199.810524700195</v>
      </c>
      <c r="F341">
        <v>22818.658356871001</v>
      </c>
      <c r="G341">
        <v>226120.44383633201</v>
      </c>
      <c r="H341">
        <v>81430.196496578094</v>
      </c>
      <c r="I341">
        <v>33611.3631422619</v>
      </c>
      <c r="J341">
        <v>12104.079837970299</v>
      </c>
      <c r="K341" s="1">
        <f t="shared" si="4"/>
        <v>0.10000000000000009</v>
      </c>
    </row>
    <row r="342" spans="1:11" x14ac:dyDescent="0.35">
      <c r="A342">
        <v>112</v>
      </c>
      <c r="B342" t="s">
        <v>15</v>
      </c>
      <c r="C342" t="s">
        <v>15</v>
      </c>
      <c r="D342">
        <v>2044</v>
      </c>
      <c r="E342">
        <v>72251.035219498299</v>
      </c>
      <c r="F342">
        <v>19448.562525218898</v>
      </c>
      <c r="G342">
        <v>226791.80299712601</v>
      </c>
      <c r="H342">
        <v>70248.891013663902</v>
      </c>
      <c r="I342">
        <v>30646.5058214815</v>
      </c>
      <c r="J342">
        <v>9492.7727499487701</v>
      </c>
      <c r="K342" s="1">
        <f t="shared" si="4"/>
        <v>0.10000000000000009</v>
      </c>
    </row>
    <row r="343" spans="1:11" x14ac:dyDescent="0.35">
      <c r="A343">
        <v>112</v>
      </c>
      <c r="B343" t="s">
        <v>15</v>
      </c>
      <c r="C343" t="s">
        <v>15</v>
      </c>
      <c r="D343">
        <v>2045</v>
      </c>
      <c r="E343">
        <v>72302.259860410806</v>
      </c>
      <c r="F343">
        <v>16078.466693566899</v>
      </c>
      <c r="G343">
        <v>227463.886505139</v>
      </c>
      <c r="H343">
        <v>58774.686294624698</v>
      </c>
      <c r="I343">
        <v>27943.022590575099</v>
      </c>
      <c r="J343">
        <v>7220.2335593503403</v>
      </c>
      <c r="K343" s="1">
        <f t="shared" si="4"/>
        <v>0.10000000000000009</v>
      </c>
    </row>
    <row r="344" spans="1:11" x14ac:dyDescent="0.35">
      <c r="A344">
        <v>112</v>
      </c>
      <c r="B344" t="s">
        <v>15</v>
      </c>
      <c r="C344" t="s">
        <v>15</v>
      </c>
      <c r="D344">
        <v>2046</v>
      </c>
      <c r="E344">
        <v>72247.043219463798</v>
      </c>
      <c r="F344">
        <v>12708.3708619148</v>
      </c>
      <c r="G344">
        <v>227549.44861554701</v>
      </c>
      <c r="H344">
        <v>47007.582339460401</v>
      </c>
      <c r="I344">
        <v>25412.303228481102</v>
      </c>
      <c r="J344">
        <v>5249.7201980323398</v>
      </c>
      <c r="K344" s="1">
        <f t="shared" si="4"/>
        <v>0.10000000000000009</v>
      </c>
    </row>
    <row r="345" spans="1:11" x14ac:dyDescent="0.35">
      <c r="A345">
        <v>112</v>
      </c>
      <c r="B345" t="s">
        <v>15</v>
      </c>
      <c r="C345" t="s">
        <v>15</v>
      </c>
      <c r="D345">
        <v>2047</v>
      </c>
      <c r="E345">
        <v>72191.826578516804</v>
      </c>
      <c r="F345">
        <v>9338.2750302627192</v>
      </c>
      <c r="G345">
        <v>227634.614375732</v>
      </c>
      <c r="H345">
        <v>34947.579148171098</v>
      </c>
      <c r="I345">
        <v>23110.7403488052</v>
      </c>
      <c r="J345">
        <v>3548.0738714876402</v>
      </c>
      <c r="K345" s="1">
        <f t="shared" si="4"/>
        <v>0.10000000000000009</v>
      </c>
    </row>
    <row r="346" spans="1:11" x14ac:dyDescent="0.35">
      <c r="A346">
        <v>112</v>
      </c>
      <c r="B346" t="s">
        <v>15</v>
      </c>
      <c r="C346" t="s">
        <v>15</v>
      </c>
      <c r="D346">
        <v>2048</v>
      </c>
      <c r="E346">
        <v>72136.609991455407</v>
      </c>
      <c r="F346">
        <v>5968.17919861065</v>
      </c>
      <c r="G346">
        <v>227719.38402801799</v>
      </c>
      <c r="H346">
        <v>22594.676720756801</v>
      </c>
      <c r="I346">
        <v>21017.5878531321</v>
      </c>
      <c r="J346">
        <v>2085.39824143032</v>
      </c>
      <c r="K346" s="1">
        <f t="shared" si="4"/>
        <v>0.10000000000000009</v>
      </c>
    </row>
    <row r="347" spans="1:11" x14ac:dyDescent="0.35">
      <c r="A347">
        <v>112</v>
      </c>
      <c r="B347" t="s">
        <v>15</v>
      </c>
      <c r="C347" t="s">
        <v>15</v>
      </c>
      <c r="D347">
        <v>2049</v>
      </c>
      <c r="E347">
        <v>72081.393350508399</v>
      </c>
      <c r="F347">
        <v>2598.08336695858</v>
      </c>
      <c r="G347">
        <v>227803.75716022501</v>
      </c>
      <c r="H347">
        <v>9948.8750572174195</v>
      </c>
      <c r="I347">
        <v>19113.977414171299</v>
      </c>
      <c r="J347">
        <v>834.76486740434302</v>
      </c>
      <c r="K347" s="1">
        <f t="shared" si="4"/>
        <v>0.10000000000000009</v>
      </c>
    </row>
    <row r="348" spans="1:11" x14ac:dyDescent="0.35">
      <c r="A348">
        <v>112</v>
      </c>
      <c r="B348" t="s">
        <v>15</v>
      </c>
      <c r="C348" t="s">
        <v>15</v>
      </c>
      <c r="D348">
        <v>2050</v>
      </c>
      <c r="E348">
        <v>72026.176709561405</v>
      </c>
      <c r="F348">
        <v>0</v>
      </c>
      <c r="G348">
        <v>227887.73401437199</v>
      </c>
      <c r="H348">
        <v>0</v>
      </c>
      <c r="I348">
        <v>17382.7486637734</v>
      </c>
      <c r="J348">
        <v>0</v>
      </c>
      <c r="K348" s="1">
        <f t="shared" si="4"/>
        <v>9.9999999999999867E-2</v>
      </c>
    </row>
    <row r="349" spans="1:11" x14ac:dyDescent="0.35">
      <c r="A349">
        <v>112</v>
      </c>
      <c r="B349" t="s">
        <v>15</v>
      </c>
      <c r="C349" t="s">
        <v>15</v>
      </c>
      <c r="D349">
        <v>2051</v>
      </c>
      <c r="E349" t="s">
        <v>12</v>
      </c>
      <c r="F349" t="s">
        <v>12</v>
      </c>
      <c r="G349">
        <v>234724.366034804</v>
      </c>
      <c r="H349">
        <v>0</v>
      </c>
      <c r="I349">
        <v>3353205.2290686201</v>
      </c>
      <c r="J349">
        <v>0</v>
      </c>
      <c r="K349" s="1">
        <f t="shared" si="4"/>
        <v>-9.0603032986147136E-2</v>
      </c>
    </row>
  </sheetData>
  <mergeCells count="1">
    <mergeCell ref="L30:R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 question from traj_detailed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Uranbaigali.B (Уранбайгаль.Б)</dc:creator>
  <cp:lastModifiedBy>Uranbaigali.B (Уранбайгаль.Б)</cp:lastModifiedBy>
  <dcterms:created xsi:type="dcterms:W3CDTF">2026-04-22T09:18:17Z</dcterms:created>
  <dcterms:modified xsi:type="dcterms:W3CDTF">2026-04-22T09:20:32Z</dcterms:modified>
</cp:coreProperties>
</file>